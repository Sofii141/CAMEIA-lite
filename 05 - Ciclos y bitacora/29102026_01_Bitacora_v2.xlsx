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siones" sheetId="2" state="visible" r:id="rId2"/>
    <sheet xmlns:r="http://schemas.openxmlformats.org/officeDocument/2006/relationships" name="Medicion por caso" sheetId="3" state="visible" r:id="rId3"/>
    <sheet xmlns:r="http://schemas.openxmlformats.org/officeDocument/2006/relationships" name="Codewalk" sheetId="4" state="visible" r:id="rId4"/>
    <sheet xmlns:r="http://schemas.openxmlformats.org/officeDocument/2006/relationships" name="Bitacora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8">
    <font>
      <name val="Calibri"/>
      <family val="2"/>
      <color theme="1"/>
      <sz val="11"/>
      <scheme val="minor"/>
    </font>
    <font>
      <name val="Segoe UI"/>
      <b val="1"/>
      <color rgb="0079371D"/>
      <sz val="18"/>
    </font>
    <font>
      <name val="Segoe UI"/>
      <color rgb="00B9794A"/>
      <sz val="10"/>
    </font>
    <font>
      <name val="Segoe UI"/>
      <color rgb="004A2312"/>
      <sz val="10"/>
    </font>
    <font>
      <name val="Segoe UI"/>
      <b val="1"/>
      <color rgb="00F68578"/>
      <sz val="12"/>
    </font>
    <font>
      <name val="Segoe UI"/>
      <b val="1"/>
      <color rgb="00FFF8EF"/>
      <sz val="10"/>
    </font>
    <font>
      <name val="Segoe UI"/>
      <b val="1"/>
      <color rgb="0079371D"/>
      <sz val="10"/>
    </font>
    <font>
      <name val="Segoe UI"/>
      <i val="1"/>
      <color rgb="00B9794A"/>
      <sz val="10"/>
    </font>
  </fonts>
  <fills count="7">
    <fill>
      <patternFill/>
    </fill>
    <fill>
      <patternFill patternType="gray125"/>
    </fill>
    <fill>
      <patternFill patternType="solid">
        <fgColor rgb="0079371D"/>
      </patternFill>
    </fill>
    <fill>
      <patternFill patternType="solid">
        <fgColor rgb="00FCEEDC"/>
      </patternFill>
    </fill>
    <fill>
      <patternFill patternType="solid">
        <fgColor rgb="00EDE6DF"/>
      </patternFill>
    </fill>
    <fill>
      <patternFill patternType="solid">
        <fgColor rgb="00FFABA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E9CFAE"/>
      </bottom>
    </border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7" fillId="0" borderId="0" pivotButton="0" quotePrefix="0" xfId="0"/>
    <xf numFmtId="0" fontId="7" fillId="6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F5CB99"/>
        </patternFill>
      </fill>
    </dxf>
    <dxf>
      <fill>
        <patternFill patternType="solid">
          <fgColor rgb="00BCC86F"/>
        </patternFill>
      </fill>
    </dxf>
    <dxf>
      <fill>
        <patternFill patternType="solid">
          <fgColor rgb="00F6857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9371D"/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Bitácora y medición · v2 (29/10/2026)</t>
        </is>
      </c>
    </row>
    <row r="2">
      <c r="A2" s="2" t="inlineStr">
        <is>
          <t>Proyecto final Ágiles 2026-2 · Tema 3: pair programming · Ana Sofía Arango Yanza y Juan José Arias Chacua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Sesiones: una fila por sesión de trabajo. Son las 'condiciones' que pide el profe: quién participó, cuándo, cuánto duró y con qué herramientas.</t>
        </is>
      </c>
    </row>
    <row r="6">
      <c r="A6" s="3" t="inlineStr">
        <is>
          <t>2. Medicion por caso: una fila por tarea, que se llena AL TERMINAR cada tarea (no al final del día). Las columnas grises se calculan solas.</t>
        </is>
      </c>
    </row>
    <row r="7">
      <c r="A7" s="3" t="inlineStr">
        <is>
          <t>3. Codewalk: 5 preguntas de 1 punto cada una, para el autor y para el compañero. El total se copia a Medicion por caso.</t>
        </is>
      </c>
    </row>
    <row r="8">
      <c r="A8" s="3" t="inlineStr">
        <is>
          <t>4. Bitacora (solo ciclos 1 y 2): una fila por CADA uso del agente. Decisión solo admite aceptar / corregir / rechazar. La columna Razón es la que más lee el profe.</t>
        </is>
      </c>
    </row>
    <row r="9">
      <c r="A9" s="3" t="inlineStr">
        <is>
          <t>5. Resumen: se calcula solo (promedios y conteos). La mediana y el rango salen del script 07 - Analisis/Scripts/resumen_medicion.py. La otra persona recalcula a mano al menos una cifra y lo anota en Sesiones.</t>
        </is>
      </c>
    </row>
    <row r="10">
      <c r="A10" s="3" t="inlineStr"/>
    </row>
    <row r="11">
      <c r="A11" s="4" t="inlineStr">
        <is>
          <t>Reglas que no se negocian</t>
        </is>
      </c>
    </row>
    <row r="12">
      <c r="A12" s="3" t="inlineStr">
        <is>
          <t>• Nunca rellenar datos de memoria ni inventarlos: si falta un dato, se deja vacío y se marca [N].</t>
        </is>
      </c>
    </row>
    <row r="13">
      <c r="A13" s="3" t="inlineStr">
        <is>
          <t>• Cronómetro real: Inicio y Fin en formato hh:mm (p. ej. 14:05), contando desde que se abre el enunciado (la lectura cuenta). Las pausas se restan en la columna Pausas.</t>
        </is>
      </c>
    </row>
    <row r="14">
      <c r="A14" s="3" t="inlineStr">
        <is>
          <t>• Si alguien abre tests/ocultas antes de declarar 'terminado', la tarea se marca [C] y se reemplaza por una de repuesto.</t>
        </is>
      </c>
    </row>
    <row r="15">
      <c r="A15" s="3" t="inlineStr">
        <is>
          <t>• M6 en la línea base: Pronóstico (min) antes de empezar; 'Ayuda percibida' = cuánto les ayudó trabajar en pareja (−2 a +2). En los ciclos, cuánto ayudó el agente.</t>
        </is>
      </c>
    </row>
    <row r="16">
      <c r="A16" s="3" t="inlineStr">
        <is>
          <t>• Versionar: al cerrar cada etapa se copia el archivo con fecha nueva (DDMMAAAA_NN_Bitacora_vX.xlsx) y se anota en CHANGELOG.md.</t>
        </is>
      </c>
    </row>
    <row r="17">
      <c r="A17" s="3" t="inlineStr"/>
    </row>
    <row r="18">
      <c r="A18" s="4" t="inlineStr">
        <is>
          <t>Marcas de evidencia</t>
        </is>
      </c>
    </row>
    <row r="19">
      <c r="A19" s="3" t="inlineStr">
        <is>
          <t>[V] verificado con evidencia (grabación, commit, salida de pytest) · [R] recalculado por la otra persona · [P] pendiente de verificar · [N] no consta · [C] contaminado / descartado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5CB99"/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0" customWidth="1" min="4" max="4"/>
    <col width="10" customWidth="1" min="5" max="5"/>
    <col width="26" customWidth="1" min="6" max="6"/>
    <col width="16" customWidth="1" min="7" max="7"/>
    <col width="24" customWidth="1" min="8" max="8"/>
    <col width="26" customWidth="1" min="9" max="9"/>
    <col width="12" customWidth="1" min="10" max="10"/>
    <col width="22" customWidth="1" min="11" max="11"/>
    <col width="28" customWidth="1" min="12" max="12"/>
    <col width="24" customWidth="1" min="13" max="13"/>
    <col width="30" customWidth="1" min="14" max="14"/>
  </cols>
  <sheetData>
    <row r="1" ht="42" customHeight="1">
      <c r="A1" s="5" t="inlineStr">
        <is>
          <t>ID sesión</t>
        </is>
      </c>
      <c r="B1" s="5" t="inlineStr">
        <is>
          <t>Fecha (dd/mm/aaaa)</t>
        </is>
      </c>
      <c r="C1" s="5" t="inlineStr">
        <is>
          <t>Etapa</t>
        </is>
      </c>
      <c r="D1" s="5" t="inlineStr">
        <is>
          <t>Hora inicio</t>
        </is>
      </c>
      <c r="E1" s="5" t="inlineStr">
        <is>
          <t>Hora fin</t>
        </is>
      </c>
      <c r="F1" s="5" t="inlineStr">
        <is>
          <t>Participantes</t>
        </is>
      </c>
      <c r="G1" s="5" t="inlineStr">
        <is>
          <t>Lugar o canal</t>
        </is>
      </c>
      <c r="H1" s="5" t="inlineStr">
        <is>
          <t>Herramientas (editor, Python, pytest)</t>
        </is>
      </c>
      <c r="I1" s="5" t="inlineStr">
        <is>
          <t>IA usada (ninguna / herramienta + modelo exacto)</t>
        </is>
      </c>
      <c r="J1" s="5" t="inlineStr">
        <is>
          <t>Semilla del sorteo</t>
        </is>
      </c>
      <c r="K1" s="5" t="inlineStr">
        <is>
          <t>Tareas hechas</t>
        </is>
      </c>
      <c r="L1" s="5" t="inlineStr">
        <is>
          <t>Interrupciones o incidentes</t>
        </is>
      </c>
      <c r="M1" s="5" t="inlineStr">
        <is>
          <t>Grabación (archivo o enlace)</t>
        </is>
      </c>
      <c r="N1" s="5" t="inlineStr">
        <is>
          <t>Recálculo independiente (quién, qué cifra, ¿coincide?)</t>
        </is>
      </c>
    </row>
    <row r="2">
      <c r="A2" s="6" t="inlineStr">
        <is>
          <t>S01</t>
        </is>
      </c>
      <c r="B2" s="6" t="inlineStr"/>
      <c r="C2" s="6" t="inlineStr"/>
      <c r="D2" s="7" t="inlineStr"/>
      <c r="E2" s="7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8" t="inlineStr">
        <is>
          <t>S02</t>
        </is>
      </c>
      <c r="B3" s="8" t="inlineStr"/>
      <c r="C3" s="8" t="inlineStr"/>
      <c r="D3" s="9" t="inlineStr"/>
      <c r="E3" s="9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6" t="inlineStr">
        <is>
          <t>S03</t>
        </is>
      </c>
      <c r="B4" s="6" t="inlineStr"/>
      <c r="C4" s="6" t="inlineStr"/>
      <c r="D4" s="7" t="inlineStr"/>
      <c r="E4" s="7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</row>
    <row r="5">
      <c r="A5" s="8" t="inlineStr">
        <is>
          <t>S04</t>
        </is>
      </c>
      <c r="B5" s="8" t="inlineStr"/>
      <c r="C5" s="8" t="inlineStr"/>
      <c r="D5" s="9" t="inlineStr"/>
      <c r="E5" s="9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</row>
    <row r="6">
      <c r="A6" s="6" t="inlineStr">
        <is>
          <t>S05</t>
        </is>
      </c>
      <c r="B6" s="6" t="inlineStr"/>
      <c r="C6" s="6" t="inlineStr"/>
      <c r="D6" s="7" t="inlineStr"/>
      <c r="E6" s="7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>
      <c r="A7" s="8" t="inlineStr">
        <is>
          <t>S06</t>
        </is>
      </c>
      <c r="B7" s="8" t="inlineStr"/>
      <c r="C7" s="8" t="inlineStr"/>
      <c r="D7" s="9" t="inlineStr"/>
      <c r="E7" s="9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</row>
    <row r="8">
      <c r="A8" s="6" t="inlineStr">
        <is>
          <t>S07</t>
        </is>
      </c>
      <c r="B8" s="6" t="inlineStr"/>
      <c r="C8" s="6" t="inlineStr"/>
      <c r="D8" s="7" t="inlineStr"/>
      <c r="E8" s="7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>
      <c r="A9" s="8" t="inlineStr">
        <is>
          <t>S08</t>
        </is>
      </c>
      <c r="B9" s="8" t="inlineStr"/>
      <c r="C9" s="8" t="inlineStr"/>
      <c r="D9" s="9" t="inlineStr"/>
      <c r="E9" s="9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</row>
  </sheetData>
  <dataValidations count="1">
    <dataValidation sqref="C2:C200" showDropDown="0" showInputMessage="0" showErrorMessage="0" allowBlank="1" type="list">
      <formula1>"Línea base,Ciclo 1,Ciclo 2,Piloto"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8578"/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" customWidth="1" min="3" max="3"/>
    <col width="7" customWidth="1" min="4" max="4"/>
    <col width="12" customWidth="1" min="5" max="5"/>
    <col width="14" customWidth="1" min="6" max="6"/>
    <col width="11" customWidth="1" min="7" max="7"/>
    <col width="11" customWidth="1" min="8" max="8"/>
    <col width="9" customWidth="1" min="9" max="9"/>
    <col width="9" customWidth="1" min="10" max="10"/>
    <col width="8" customWidth="1" min="11" max="11"/>
    <col width="10" customWidth="1" min="12" max="12"/>
    <col width="8" customWidth="1" min="13" max="13"/>
    <col width="11" customWidth="1" min="14" max="14"/>
    <col width="10" customWidth="1" min="15" max="15"/>
    <col width="9" customWidth="1" min="16" max="16"/>
    <col width="10" customWidth="1" min="17" max="17"/>
    <col width="9" customWidth="1" min="18" max="18"/>
    <col width="10" customWidth="1" min="19" max="19"/>
    <col width="11" customWidth="1" min="20" max="20"/>
    <col width="11" customWidth="1" min="21" max="21"/>
    <col width="18" customWidth="1" min="22" max="22"/>
    <col width="8" customWidth="1" min="23" max="23"/>
    <col width="30" customWidth="1" min="24" max="24"/>
  </cols>
  <sheetData>
    <row r="1" ht="42" customHeight="1">
      <c r="A1" s="5" t="inlineStr">
        <is>
          <t>Caso</t>
        </is>
      </c>
      <c r="B1" s="5" t="inlineStr">
        <is>
          <t>Tarea</t>
        </is>
      </c>
      <c r="C1" s="5" t="inlineStr">
        <is>
          <t>Tam.</t>
        </is>
      </c>
      <c r="D1" s="5" t="inlineStr">
        <is>
          <t>Difícil</t>
        </is>
      </c>
      <c r="E1" s="5" t="inlineStr">
        <is>
          <t>Condición</t>
        </is>
      </c>
      <c r="F1" s="5" t="inlineStr">
        <is>
          <t>Quién conduce</t>
        </is>
      </c>
      <c r="G1" s="5" t="inlineStr">
        <is>
          <t>Fecha</t>
        </is>
      </c>
      <c r="H1" s="5" t="inlineStr">
        <is>
          <t>Pronóstico (min) · M6</t>
        </is>
      </c>
      <c r="I1" s="5" t="inlineStr">
        <is>
          <t>Inicio (hh:mm)</t>
        </is>
      </c>
      <c r="J1" s="5" t="inlineStr">
        <is>
          <t>Fin (hh:mm)</t>
        </is>
      </c>
      <c r="K1" s="5" t="inlineStr">
        <is>
          <t>Pausas (min)</t>
        </is>
      </c>
      <c r="L1" s="5" t="inlineStr">
        <is>
          <t>Duración (min) · M1</t>
        </is>
      </c>
      <c r="M1" s="5" t="inlineStr">
        <is>
          <t>Personas</t>
        </is>
      </c>
      <c r="N1" s="5" t="inlineStr">
        <is>
          <t>Esfuerzo (min·pers.) · M2</t>
        </is>
      </c>
      <c r="O1" s="5" t="inlineStr">
        <is>
          <t>Ocultas que fallan · M3</t>
        </is>
      </c>
      <c r="P1" s="5" t="inlineStr">
        <is>
          <t>Ocultas totales</t>
        </is>
      </c>
      <c r="Q1" s="5" t="inlineStr">
        <is>
          <t>Retrabajo (min) · M4</t>
        </is>
      </c>
      <c r="R1" s="5" t="inlineStr">
        <is>
          <t>Commits de retrabajo</t>
        </is>
      </c>
      <c r="S1" s="5" t="inlineStr">
        <is>
          <t>Codewalk autor (0–5) · M5</t>
        </is>
      </c>
      <c r="T1" s="5" t="inlineStr">
        <is>
          <t>Codewalk compañero (0–5) · M5</t>
        </is>
      </c>
      <c r="U1" s="5" t="inlineStr">
        <is>
          <t>Ayuda percibida (−2 a +2) · M6</t>
        </is>
      </c>
      <c r="V1" s="5" t="inlineStr">
        <is>
          <t>Grabación</t>
        </is>
      </c>
      <c r="W1" s="5" t="inlineStr">
        <is>
          <t>Marca</t>
        </is>
      </c>
      <c r="X1" s="5" t="inlineStr">
        <is>
          <t>Observaciones</t>
        </is>
      </c>
    </row>
    <row r="2">
      <c r="A2" s="6" t="inlineStr">
        <is>
          <t>t01</t>
        </is>
      </c>
      <c r="B2" s="6" t="inlineStr">
        <is>
          <t>Normalizar texto</t>
        </is>
      </c>
      <c r="C2" s="6" t="inlineStr">
        <is>
          <t>S</t>
        </is>
      </c>
      <c r="D2" s="6" t="inlineStr">
        <is>
          <t>No</t>
        </is>
      </c>
      <c r="E2" s="6" t="inlineStr"/>
      <c r="F2" s="6" t="inlineStr"/>
      <c r="G2" s="6" t="inlineStr"/>
      <c r="H2" s="6" t="inlineStr"/>
      <c r="I2" s="7" t="n"/>
      <c r="J2" s="7" t="n"/>
      <c r="K2" s="6" t="inlineStr"/>
      <c r="L2" s="10">
        <f>IF(AND(I2&lt;&gt;"",J2&lt;&gt;""),ROUND((J2-I2)*1440-N(K2),0),"")</f>
        <v/>
      </c>
      <c r="M2" s="10">
        <f>IF(E2="","",IF(E2="Línea base",2,1))</f>
        <v/>
      </c>
      <c r="N2" s="10">
        <f>IF(AND(ISNUMBER(L2),ISNUMBER(M2)),L2*M2,"")</f>
        <v/>
      </c>
      <c r="O2" s="6" t="inlineStr"/>
      <c r="P2" s="6" t="n">
        <v>3</v>
      </c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</row>
    <row r="3">
      <c r="A3" s="8" t="inlineStr">
        <is>
          <t>t02</t>
        </is>
      </c>
      <c r="B3" s="8" t="inlineStr">
        <is>
          <t>Contar caracteres</t>
        </is>
      </c>
      <c r="C3" s="8" t="inlineStr">
        <is>
          <t>S</t>
        </is>
      </c>
      <c r="D3" s="8" t="inlineStr">
        <is>
          <t>No</t>
        </is>
      </c>
      <c r="E3" s="8" t="inlineStr"/>
      <c r="F3" s="8" t="inlineStr"/>
      <c r="G3" s="8" t="inlineStr"/>
      <c r="H3" s="8" t="inlineStr"/>
      <c r="I3" s="9" t="n"/>
      <c r="J3" s="9" t="n"/>
      <c r="K3" s="8" t="inlineStr"/>
      <c r="L3" s="10">
        <f>IF(AND(I3&lt;&gt;"",J3&lt;&gt;""),ROUND((J3-I3)*1440-N(K3),0),"")</f>
        <v/>
      </c>
      <c r="M3" s="10">
        <f>IF(E3="","",IF(E3="Línea base",2,1))</f>
        <v/>
      </c>
      <c r="N3" s="10">
        <f>IF(AND(ISNUMBER(L3),ISNUMBER(M3)),L3*M3,"")</f>
        <v/>
      </c>
      <c r="O3" s="8" t="inlineStr"/>
      <c r="P3" s="8" t="n">
        <v>3</v>
      </c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</row>
    <row r="4">
      <c r="A4" s="6" t="inlineStr">
        <is>
          <t>t03</t>
        </is>
      </c>
      <c r="B4" s="6" t="inlineStr">
        <is>
          <t>Validar nombre</t>
        </is>
      </c>
      <c r="C4" s="6" t="inlineStr">
        <is>
          <t>M</t>
        </is>
      </c>
      <c r="D4" s="11" t="inlineStr">
        <is>
          <t>Sí</t>
        </is>
      </c>
      <c r="E4" s="6" t="inlineStr"/>
      <c r="F4" s="6" t="inlineStr"/>
      <c r="G4" s="6" t="inlineStr"/>
      <c r="H4" s="6" t="inlineStr"/>
      <c r="I4" s="7" t="n"/>
      <c r="J4" s="7" t="n"/>
      <c r="K4" s="6" t="inlineStr"/>
      <c r="L4" s="10">
        <f>IF(AND(I4&lt;&gt;"",J4&lt;&gt;""),ROUND((J4-I4)*1440-N(K4),0),"")</f>
        <v/>
      </c>
      <c r="M4" s="10">
        <f>IF(E4="","",IF(E4="Línea base",2,1))</f>
        <v/>
      </c>
      <c r="N4" s="10">
        <f>IF(AND(ISNUMBER(L4),ISNUMBER(M4)),L4*M4,"")</f>
        <v/>
      </c>
      <c r="O4" s="6" t="inlineStr"/>
      <c r="P4" s="6" t="n">
        <v>3</v>
      </c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</row>
    <row r="5">
      <c r="A5" s="8" t="inlineStr">
        <is>
          <t>t04</t>
        </is>
      </c>
      <c r="B5" s="8" t="inlineStr">
        <is>
          <t>Validar correo</t>
        </is>
      </c>
      <c r="C5" s="8" t="inlineStr">
        <is>
          <t>S</t>
        </is>
      </c>
      <c r="D5" s="8" t="inlineStr">
        <is>
          <t>No</t>
        </is>
      </c>
      <c r="E5" s="8" t="inlineStr"/>
      <c r="F5" s="8" t="inlineStr"/>
      <c r="G5" s="8" t="inlineStr"/>
      <c r="H5" s="8" t="inlineStr"/>
      <c r="I5" s="9" t="n"/>
      <c r="J5" s="9" t="n"/>
      <c r="K5" s="8" t="inlineStr"/>
      <c r="L5" s="10">
        <f>IF(AND(I5&lt;&gt;"",J5&lt;&gt;""),ROUND((J5-I5)*1440-N(K5),0),"")</f>
        <v/>
      </c>
      <c r="M5" s="10">
        <f>IF(E5="","",IF(E5="Línea base",2,1))</f>
        <v/>
      </c>
      <c r="N5" s="10">
        <f>IF(AND(ISNUMBER(L5),ISNUMBER(M5)),L5*M5,"")</f>
        <v/>
      </c>
      <c r="O5" s="8" t="inlineStr"/>
      <c r="P5" s="8" t="n">
        <v>3</v>
      </c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</row>
    <row r="6">
      <c r="A6" s="6" t="inlineStr">
        <is>
          <t>t05</t>
        </is>
      </c>
      <c r="B6" s="6" t="inlineStr">
        <is>
          <t>Validar celular</t>
        </is>
      </c>
      <c r="C6" s="6" t="inlineStr">
        <is>
          <t>S</t>
        </is>
      </c>
      <c r="D6" s="6" t="inlineStr">
        <is>
          <t>No</t>
        </is>
      </c>
      <c r="E6" s="6" t="inlineStr"/>
      <c r="F6" s="6" t="inlineStr"/>
      <c r="G6" s="6" t="inlineStr"/>
      <c r="H6" s="6" t="inlineStr"/>
      <c r="I6" s="7" t="n"/>
      <c r="J6" s="7" t="n"/>
      <c r="K6" s="6" t="inlineStr"/>
      <c r="L6" s="10">
        <f>IF(AND(I6&lt;&gt;"",J6&lt;&gt;""),ROUND((J6-I6)*1440-N(K6),0),"")</f>
        <v/>
      </c>
      <c r="M6" s="10">
        <f>IF(E6="","",IF(E6="Línea base",2,1))</f>
        <v/>
      </c>
      <c r="N6" s="10">
        <f>IF(AND(ISNUMBER(L6),ISNUMBER(M6)),L6*M6,"")</f>
        <v/>
      </c>
      <c r="O6" s="6" t="inlineStr"/>
      <c r="P6" s="6" t="n">
        <v>3</v>
      </c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</row>
    <row r="7">
      <c r="A7" s="8" t="inlineStr">
        <is>
          <t>t06</t>
        </is>
      </c>
      <c r="B7" s="8" t="inlineStr">
        <is>
          <t>Política de contraseñas</t>
        </is>
      </c>
      <c r="C7" s="8" t="inlineStr">
        <is>
          <t>M</t>
        </is>
      </c>
      <c r="D7" s="8" t="inlineStr">
        <is>
          <t>No</t>
        </is>
      </c>
      <c r="E7" s="8" t="inlineStr"/>
      <c r="F7" s="8" t="inlineStr"/>
      <c r="G7" s="8" t="inlineStr"/>
      <c r="H7" s="8" t="inlineStr"/>
      <c r="I7" s="9" t="n"/>
      <c r="J7" s="9" t="n"/>
      <c r="K7" s="8" t="inlineStr"/>
      <c r="L7" s="10">
        <f>IF(AND(I7&lt;&gt;"",J7&lt;&gt;""),ROUND((J7-I7)*1440-N(K7),0),"")</f>
        <v/>
      </c>
      <c r="M7" s="10">
        <f>IF(E7="","",IF(E7="Línea base",2,1))</f>
        <v/>
      </c>
      <c r="N7" s="10">
        <f>IF(AND(ISNUMBER(L7),ISNUMBER(M7)),L7*M7,"")</f>
        <v/>
      </c>
      <c r="O7" s="8" t="inlineStr"/>
      <c r="P7" s="8" t="n">
        <v>3</v>
      </c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</row>
    <row r="8">
      <c r="A8" s="6" t="inlineStr">
        <is>
          <t>t07</t>
        </is>
      </c>
      <c r="B8" s="6" t="inlineStr">
        <is>
          <t>Fecha de nacimiento</t>
        </is>
      </c>
      <c r="C8" s="6" t="inlineStr">
        <is>
          <t>M</t>
        </is>
      </c>
      <c r="D8" s="11" t="inlineStr">
        <is>
          <t>Sí</t>
        </is>
      </c>
      <c r="E8" s="6" t="inlineStr"/>
      <c r="F8" s="6" t="inlineStr"/>
      <c r="G8" s="6" t="inlineStr"/>
      <c r="H8" s="6" t="inlineStr"/>
      <c r="I8" s="7" t="n"/>
      <c r="J8" s="7" t="n"/>
      <c r="K8" s="6" t="inlineStr"/>
      <c r="L8" s="10">
        <f>IF(AND(I8&lt;&gt;"",J8&lt;&gt;""),ROUND((J8-I8)*1440-N(K8),0),"")</f>
        <v/>
      </c>
      <c r="M8" s="10">
        <f>IF(E8="","",IF(E8="Línea base",2,1))</f>
        <v/>
      </c>
      <c r="N8" s="10">
        <f>IF(AND(ISNUMBER(L8),ISNUMBER(M8)),L8*M8,"")</f>
        <v/>
      </c>
      <c r="O8" s="6" t="inlineStr"/>
      <c r="P8" s="6" t="n">
        <v>3</v>
      </c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</row>
    <row r="9">
      <c r="A9" s="8" t="inlineStr">
        <is>
          <t>t08</t>
        </is>
      </c>
      <c r="B9" s="8" t="inlineStr">
        <is>
          <t>Cupo de perfiles por plan</t>
        </is>
      </c>
      <c r="C9" s="8" t="inlineStr">
        <is>
          <t>M</t>
        </is>
      </c>
      <c r="D9" s="11" t="inlineStr">
        <is>
          <t>Sí</t>
        </is>
      </c>
      <c r="E9" s="8" t="inlineStr"/>
      <c r="F9" s="8" t="inlineStr"/>
      <c r="G9" s="8" t="inlineStr"/>
      <c r="H9" s="8" t="inlineStr"/>
      <c r="I9" s="9" t="n"/>
      <c r="J9" s="9" t="n"/>
      <c r="K9" s="8" t="inlineStr"/>
      <c r="L9" s="10">
        <f>IF(AND(I9&lt;&gt;"",J9&lt;&gt;""),ROUND((J9-I9)*1440-N(K9),0),"")</f>
        <v/>
      </c>
      <c r="M9" s="10">
        <f>IF(E9="","",IF(E9="Línea base",2,1))</f>
        <v/>
      </c>
      <c r="N9" s="10">
        <f>IF(AND(ISNUMBER(L9),ISNUMBER(M9)),L9*M9,"")</f>
        <v/>
      </c>
      <c r="O9" s="8" t="inlineStr"/>
      <c r="P9" s="8" t="n">
        <v>3</v>
      </c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</row>
    <row r="10">
      <c r="A10" s="6" t="inlineStr">
        <is>
          <t>t09</t>
        </is>
      </c>
      <c r="B10" s="6" t="inlineStr">
        <is>
          <t>Nivel de log por estado HTTP</t>
        </is>
      </c>
      <c r="C10" s="6" t="inlineStr">
        <is>
          <t>S</t>
        </is>
      </c>
      <c r="D10" s="6" t="inlineStr">
        <is>
          <t>No</t>
        </is>
      </c>
      <c r="E10" s="6" t="inlineStr"/>
      <c r="F10" s="6" t="inlineStr"/>
      <c r="G10" s="6" t="inlineStr"/>
      <c r="H10" s="6" t="inlineStr"/>
      <c r="I10" s="7" t="n"/>
      <c r="J10" s="7" t="n"/>
      <c r="K10" s="6" t="inlineStr"/>
      <c r="L10" s="10">
        <f>IF(AND(I10&lt;&gt;"",J10&lt;&gt;""),ROUND((J10-I10)*1440-N(K10),0),"")</f>
        <v/>
      </c>
      <c r="M10" s="10">
        <f>IF(E10="","",IF(E10="Línea base",2,1))</f>
        <v/>
      </c>
      <c r="N10" s="10">
        <f>IF(AND(ISNUMBER(L10),ISNUMBER(M10)),L10*M10,"")</f>
        <v/>
      </c>
      <c r="O10" s="6" t="inlineStr"/>
      <c r="P10" s="6" t="n">
        <v>3</v>
      </c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</row>
    <row r="11">
      <c r="A11" s="8" t="inlineStr">
        <is>
          <t>t10</t>
        </is>
      </c>
      <c r="B11" s="8" t="inlineStr">
        <is>
          <t>Mensajes de error por campo</t>
        </is>
      </c>
      <c r="C11" s="8" t="inlineStr">
        <is>
          <t>M</t>
        </is>
      </c>
      <c r="D11" s="8" t="inlineStr">
        <is>
          <t>No</t>
        </is>
      </c>
      <c r="E11" s="8" t="inlineStr"/>
      <c r="F11" s="8" t="inlineStr"/>
      <c r="G11" s="8" t="inlineStr"/>
      <c r="H11" s="8" t="inlineStr"/>
      <c r="I11" s="9" t="n"/>
      <c r="J11" s="9" t="n"/>
      <c r="K11" s="8" t="inlineStr"/>
      <c r="L11" s="10">
        <f>IF(AND(I11&lt;&gt;"",J11&lt;&gt;""),ROUND((J11-I11)*1440-N(K11),0),"")</f>
        <v/>
      </c>
      <c r="M11" s="10">
        <f>IF(E11="","",IF(E11="Línea base",2,1))</f>
        <v/>
      </c>
      <c r="N11" s="10">
        <f>IF(AND(ISNUMBER(L11),ISNUMBER(M11)),L11*M11,"")</f>
        <v/>
      </c>
      <c r="O11" s="8" t="inlineStr"/>
      <c r="P11" s="8" t="n">
        <v>3</v>
      </c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</row>
    <row r="12">
      <c r="A12" s="6" t="inlineStr">
        <is>
          <t>t11</t>
        </is>
      </c>
      <c r="B12" s="6" t="inlineStr">
        <is>
          <t>Contador de reintentos</t>
        </is>
      </c>
      <c r="C12" s="6" t="inlineStr">
        <is>
          <t>M</t>
        </is>
      </c>
      <c r="D12" s="6" t="inlineStr">
        <is>
          <t>No</t>
        </is>
      </c>
      <c r="E12" s="6" t="inlineStr"/>
      <c r="F12" s="6" t="inlineStr"/>
      <c r="G12" s="6" t="inlineStr"/>
      <c r="H12" s="6" t="inlineStr"/>
      <c r="I12" s="7" t="n"/>
      <c r="J12" s="7" t="n"/>
      <c r="K12" s="6" t="inlineStr"/>
      <c r="L12" s="10">
        <f>IF(AND(I12&lt;&gt;"",J12&lt;&gt;""),ROUND((J12-I12)*1440-N(K12),0),"")</f>
        <v/>
      </c>
      <c r="M12" s="10">
        <f>IF(E12="","",IF(E12="Línea base",2,1))</f>
        <v/>
      </c>
      <c r="N12" s="10">
        <f>IF(AND(ISNUMBER(L12),ISNUMBER(M12)),L12*M12,"")</f>
        <v/>
      </c>
      <c r="O12" s="6" t="inlineStr"/>
      <c r="P12" s="6" t="n">
        <v>3</v>
      </c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</row>
    <row r="13">
      <c r="A13" s="8" t="inlineStr">
        <is>
          <t>t12</t>
        </is>
      </c>
      <c r="B13" s="8" t="inlineStr">
        <is>
          <t>Crear una sola vez (doble clic)</t>
        </is>
      </c>
      <c r="C13" s="8" t="inlineStr">
        <is>
          <t>L</t>
        </is>
      </c>
      <c r="D13" s="11" t="inlineStr">
        <is>
          <t>Sí</t>
        </is>
      </c>
      <c r="E13" s="8" t="inlineStr"/>
      <c r="F13" s="8" t="inlineStr"/>
      <c r="G13" s="8" t="inlineStr"/>
      <c r="H13" s="8" t="inlineStr"/>
      <c r="I13" s="9" t="n"/>
      <c r="J13" s="9" t="n"/>
      <c r="K13" s="8" t="inlineStr"/>
      <c r="L13" s="10">
        <f>IF(AND(I13&lt;&gt;"",J13&lt;&gt;""),ROUND((J13-I13)*1440-N(K13),0),"")</f>
        <v/>
      </c>
      <c r="M13" s="10">
        <f>IF(E13="","",IF(E13="Línea base",2,1))</f>
        <v/>
      </c>
      <c r="N13" s="10">
        <f>IF(AND(ISNUMBER(L13),ISNUMBER(M13)),L13*M13,"")</f>
        <v/>
      </c>
      <c r="O13" s="8" t="inlineStr"/>
      <c r="P13" s="8" t="n">
        <v>3</v>
      </c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</row>
    <row r="14">
      <c r="A14" s="6" t="inlineStr">
        <is>
          <t>t13</t>
        </is>
      </c>
      <c r="B14" s="6" t="inlineStr">
        <is>
          <t>Eliminar rol objetivo</t>
        </is>
      </c>
      <c r="C14" s="6" t="inlineStr">
        <is>
          <t>M</t>
        </is>
      </c>
      <c r="D14" s="11" t="inlineStr">
        <is>
          <t>Sí</t>
        </is>
      </c>
      <c r="E14" s="6" t="inlineStr"/>
      <c r="F14" s="6" t="inlineStr"/>
      <c r="G14" s="6" t="inlineStr"/>
      <c r="H14" s="6" t="inlineStr"/>
      <c r="I14" s="7" t="n"/>
      <c r="J14" s="7" t="n"/>
      <c r="K14" s="6" t="inlineStr"/>
      <c r="L14" s="10">
        <f>IF(AND(I14&lt;&gt;"",J14&lt;&gt;""),ROUND((J14-I14)*1440-N(K14),0),"")</f>
        <v/>
      </c>
      <c r="M14" s="10">
        <f>IF(E14="","",IF(E14="Línea base",2,1))</f>
        <v/>
      </c>
      <c r="N14" s="10">
        <f>IF(AND(ISNUMBER(L14),ISNUMBER(M14)),L14*M14,"")</f>
        <v/>
      </c>
      <c r="O14" s="6" t="inlineStr"/>
      <c r="P14" s="6" t="n">
        <v>3</v>
      </c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</row>
    <row r="15">
      <c r="A15" s="8" t="inlineStr">
        <is>
          <t>t14</t>
        </is>
      </c>
      <c r="B15" s="8" t="inlineStr">
        <is>
          <t>Sustituir rol conservando su lugar</t>
        </is>
      </c>
      <c r="C15" s="8" t="inlineStr">
        <is>
          <t>S</t>
        </is>
      </c>
      <c r="D15" s="8" t="inlineStr">
        <is>
          <t>No</t>
        </is>
      </c>
      <c r="E15" s="8" t="inlineStr"/>
      <c r="F15" s="8" t="inlineStr"/>
      <c r="G15" s="8" t="inlineStr"/>
      <c r="H15" s="8" t="inlineStr"/>
      <c r="I15" s="9" t="n"/>
      <c r="J15" s="9" t="n"/>
      <c r="K15" s="8" t="inlineStr"/>
      <c r="L15" s="10">
        <f>IF(AND(I15&lt;&gt;"",J15&lt;&gt;""),ROUND((J15-I15)*1440-N(K15),0),"")</f>
        <v/>
      </c>
      <c r="M15" s="10">
        <f>IF(E15="","",IF(E15="Línea base",2,1))</f>
        <v/>
      </c>
      <c r="N15" s="10">
        <f>IF(AND(ISNUMBER(L15),ISNUMBER(M15)),L15*M15,"")</f>
        <v/>
      </c>
      <c r="O15" s="8" t="inlineStr"/>
      <c r="P15" s="8" t="n">
        <v>3</v>
      </c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</row>
    <row r="16">
      <c r="A16" s="6" t="inlineStr">
        <is>
          <t>t15</t>
        </is>
      </c>
      <c r="B16" s="6" t="inlineStr">
        <is>
          <t>Catálogo de roles por idioma</t>
        </is>
      </c>
      <c r="C16" s="6" t="inlineStr">
        <is>
          <t>S</t>
        </is>
      </c>
      <c r="D16" s="6" t="inlineStr">
        <is>
          <t>No</t>
        </is>
      </c>
      <c r="E16" s="6" t="inlineStr"/>
      <c r="F16" s="6" t="inlineStr"/>
      <c r="G16" s="6" t="inlineStr"/>
      <c r="H16" s="6" t="inlineStr"/>
      <c r="I16" s="7" t="n"/>
      <c r="J16" s="7" t="n"/>
      <c r="K16" s="6" t="inlineStr"/>
      <c r="L16" s="10">
        <f>IF(AND(I16&lt;&gt;"",J16&lt;&gt;""),ROUND((J16-I16)*1440-N(K16),0),"")</f>
        <v/>
      </c>
      <c r="M16" s="10">
        <f>IF(E16="","",IF(E16="Línea base",2,1))</f>
        <v/>
      </c>
      <c r="N16" s="10">
        <f>IF(AND(ISNUMBER(L16),ISNUMBER(M16)),L16*M16,"")</f>
        <v/>
      </c>
      <c r="O16" s="6" t="inlineStr"/>
      <c r="P16" s="6" t="n">
        <v>3</v>
      </c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</row>
    <row r="17">
      <c r="A17" s="8" t="inlineStr">
        <is>
          <t>t16</t>
        </is>
      </c>
      <c r="B17" s="8" t="inlineStr">
        <is>
          <t>Fechas de formación</t>
        </is>
      </c>
      <c r="C17" s="8" t="inlineStr">
        <is>
          <t>M</t>
        </is>
      </c>
      <c r="D17" s="8" t="inlineStr">
        <is>
          <t>No</t>
        </is>
      </c>
      <c r="E17" s="8" t="inlineStr"/>
      <c r="F17" s="8" t="inlineStr"/>
      <c r="G17" s="8" t="inlineStr"/>
      <c r="H17" s="8" t="inlineStr"/>
      <c r="I17" s="9" t="n"/>
      <c r="J17" s="9" t="n"/>
      <c r="K17" s="8" t="inlineStr"/>
      <c r="L17" s="10">
        <f>IF(AND(I17&lt;&gt;"",J17&lt;&gt;""),ROUND((J17-I17)*1440-N(K17),0),"")</f>
        <v/>
      </c>
      <c r="M17" s="10">
        <f>IF(E17="","",IF(E17="Línea base",2,1))</f>
        <v/>
      </c>
      <c r="N17" s="10">
        <f>IF(AND(ISNUMBER(L17),ISNUMBER(M17)),L17*M17,"")</f>
        <v/>
      </c>
      <c r="O17" s="8" t="inlineStr"/>
      <c r="P17" s="8" t="n">
        <v>3</v>
      </c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</row>
    <row r="18">
      <c r="A18" s="6" t="inlineStr">
        <is>
          <t>t17</t>
        </is>
      </c>
      <c r="B18" s="6" t="inlineStr">
        <is>
          <t>Expectativa salarial</t>
        </is>
      </c>
      <c r="C18" s="6" t="inlineStr">
        <is>
          <t>S</t>
        </is>
      </c>
      <c r="D18" s="6" t="inlineStr">
        <is>
          <t>No</t>
        </is>
      </c>
      <c r="E18" s="6" t="inlineStr"/>
      <c r="F18" s="6" t="inlineStr"/>
      <c r="G18" s="6" t="inlineStr"/>
      <c r="H18" s="6" t="inlineStr"/>
      <c r="I18" s="7" t="n"/>
      <c r="J18" s="7" t="n"/>
      <c r="K18" s="6" t="inlineStr"/>
      <c r="L18" s="10">
        <f>IF(AND(I18&lt;&gt;"",J18&lt;&gt;""),ROUND((J18-I18)*1440-N(K18),0),"")</f>
        <v/>
      </c>
      <c r="M18" s="10">
        <f>IF(E18="","",IF(E18="Línea base",2,1))</f>
        <v/>
      </c>
      <c r="N18" s="10">
        <f>IF(AND(ISNUMBER(L18),ISNUMBER(M18)),L18*M18,"")</f>
        <v/>
      </c>
      <c r="O18" s="6" t="inlineStr"/>
      <c r="P18" s="6" t="n">
        <v>3</v>
      </c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</row>
    <row r="19">
      <c r="A19" s="8" t="inlineStr">
        <is>
          <t>t18</t>
        </is>
      </c>
      <c r="B19" s="8" t="inlineStr">
        <is>
          <t>Propagar X-Request-Id</t>
        </is>
      </c>
      <c r="C19" s="8" t="inlineStr">
        <is>
          <t>M</t>
        </is>
      </c>
      <c r="D19" s="11" t="inlineStr">
        <is>
          <t>Sí</t>
        </is>
      </c>
      <c r="E19" s="8" t="inlineStr"/>
      <c r="F19" s="8" t="inlineStr"/>
      <c r="G19" s="8" t="inlineStr"/>
      <c r="H19" s="8" t="inlineStr"/>
      <c r="I19" s="9" t="n"/>
      <c r="J19" s="9" t="n"/>
      <c r="K19" s="8" t="inlineStr"/>
      <c r="L19" s="10">
        <f>IF(AND(I19&lt;&gt;"",J19&lt;&gt;""),ROUND((J19-I19)*1440-N(K19),0),"")</f>
        <v/>
      </c>
      <c r="M19" s="10">
        <f>IF(E19="","",IF(E19="Línea base",2,1))</f>
        <v/>
      </c>
      <c r="N19" s="10">
        <f>IF(AND(ISNUMBER(L19),ISNUMBER(M19)),L19*M19,"")</f>
        <v/>
      </c>
      <c r="O19" s="8" t="inlineStr"/>
      <c r="P19" s="8" t="n">
        <v>3</v>
      </c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</row>
    <row r="20">
      <c r="A20" s="6" t="inlineStr">
        <is>
          <t>t19</t>
        </is>
      </c>
      <c r="B20" s="6" t="inlineStr">
        <is>
          <t>Limpiar cabeceras de identidad</t>
        </is>
      </c>
      <c r="C20" s="6" t="inlineStr">
        <is>
          <t>M</t>
        </is>
      </c>
      <c r="D20" s="11" t="inlineStr">
        <is>
          <t>Sí</t>
        </is>
      </c>
      <c r="E20" s="6" t="inlineStr"/>
      <c r="F20" s="6" t="inlineStr"/>
      <c r="G20" s="6" t="inlineStr"/>
      <c r="H20" s="6" t="inlineStr"/>
      <c r="I20" s="7" t="n"/>
      <c r="J20" s="7" t="n"/>
      <c r="K20" s="6" t="inlineStr"/>
      <c r="L20" s="10">
        <f>IF(AND(I20&lt;&gt;"",J20&lt;&gt;""),ROUND((J20-I20)*1440-N(K20),0),"")</f>
        <v/>
      </c>
      <c r="M20" s="10">
        <f>IF(E20="","",IF(E20="Línea base",2,1))</f>
        <v/>
      </c>
      <c r="N20" s="10">
        <f>IF(AND(ISNUMBER(L20),ISNUMBER(M20)),L20*M20,"")</f>
        <v/>
      </c>
      <c r="O20" s="6" t="inlineStr"/>
      <c r="P20" s="6" t="n">
        <v>3</v>
      </c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</row>
    <row r="21">
      <c r="A21" s="8" t="inlineStr">
        <is>
          <t>t20</t>
        </is>
      </c>
      <c r="B21" s="8" t="inlineStr">
        <is>
          <t>Origen permitido (CORS)</t>
        </is>
      </c>
      <c r="C21" s="8" t="inlineStr">
        <is>
          <t>S</t>
        </is>
      </c>
      <c r="D21" s="11" t="inlineStr">
        <is>
          <t>Sí</t>
        </is>
      </c>
      <c r="E21" s="8" t="inlineStr"/>
      <c r="F21" s="8" t="inlineStr"/>
      <c r="G21" s="8" t="inlineStr"/>
      <c r="H21" s="8" t="inlineStr"/>
      <c r="I21" s="9" t="n"/>
      <c r="J21" s="9" t="n"/>
      <c r="K21" s="8" t="inlineStr"/>
      <c r="L21" s="10">
        <f>IF(AND(I21&lt;&gt;"",J21&lt;&gt;""),ROUND((J21-I21)*1440-N(K21),0),"")</f>
        <v/>
      </c>
      <c r="M21" s="10">
        <f>IF(E21="","",IF(E21="Línea base",2,1))</f>
        <v/>
      </c>
      <c r="N21" s="10">
        <f>IF(AND(ISNUMBER(L21),ISNUMBER(M21)),L21*M21,"")</f>
        <v/>
      </c>
      <c r="O21" s="8" t="inlineStr"/>
      <c r="P21" s="8" t="n">
        <v>3</v>
      </c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</row>
    <row r="22">
      <c r="A22" s="6" t="inlineStr">
        <is>
          <t>t21</t>
        </is>
      </c>
      <c r="B22" s="6" t="inlineStr">
        <is>
          <t>Perfil de arranque y emulador</t>
        </is>
      </c>
      <c r="C22" s="6" t="inlineStr">
        <is>
          <t>M</t>
        </is>
      </c>
      <c r="D22" s="11" t="inlineStr">
        <is>
          <t>Sí</t>
        </is>
      </c>
      <c r="E22" s="6" t="inlineStr"/>
      <c r="F22" s="6" t="inlineStr"/>
      <c r="G22" s="6" t="inlineStr"/>
      <c r="H22" s="6" t="inlineStr"/>
      <c r="I22" s="7" t="n"/>
      <c r="J22" s="7" t="n"/>
      <c r="K22" s="6" t="inlineStr"/>
      <c r="L22" s="10">
        <f>IF(AND(I22&lt;&gt;"",J22&lt;&gt;""),ROUND((J22-I22)*1440-N(K22),0),"")</f>
        <v/>
      </c>
      <c r="M22" s="10">
        <f>IF(E22="","",IF(E22="Línea base",2,1))</f>
        <v/>
      </c>
      <c r="N22" s="10">
        <f>IF(AND(ISNUMBER(L22),ISNUMBER(M22)),L22*M22,"")</f>
        <v/>
      </c>
      <c r="O22" s="6" t="inlineStr"/>
      <c r="P22" s="6" t="n">
        <v>3</v>
      </c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</row>
    <row r="23">
      <c r="A23" s="8" t="inlineStr">
        <is>
          <t>t22</t>
        </is>
      </c>
      <c r="B23" s="8" t="inlineStr">
        <is>
          <t>Registro idempotente (Idempotency-Key)</t>
        </is>
      </c>
      <c r="C23" s="8" t="inlineStr">
        <is>
          <t>L</t>
        </is>
      </c>
      <c r="D23" s="11" t="inlineStr">
        <is>
          <t>Sí</t>
        </is>
      </c>
      <c r="E23" s="8" t="inlineStr"/>
      <c r="F23" s="8" t="inlineStr"/>
      <c r="G23" s="8" t="inlineStr"/>
      <c r="H23" s="8" t="inlineStr"/>
      <c r="I23" s="9" t="n"/>
      <c r="J23" s="9" t="n"/>
      <c r="K23" s="8" t="inlineStr"/>
      <c r="L23" s="10">
        <f>IF(AND(I23&lt;&gt;"",J23&lt;&gt;""),ROUND((J23-I23)*1440-N(K23),0),"")</f>
        <v/>
      </c>
      <c r="M23" s="10">
        <f>IF(E23="","",IF(E23="Línea base",2,1))</f>
        <v/>
      </c>
      <c r="N23" s="10">
        <f>IF(AND(ISNUMBER(L23),ISNUMBER(M23)),L23*M23,"")</f>
        <v/>
      </c>
      <c r="O23" s="8" t="inlineStr"/>
      <c r="P23" s="8" t="n">
        <v>3</v>
      </c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</row>
    <row r="24">
      <c r="A24" s="6" t="inlineStr">
        <is>
          <t>t23</t>
        </is>
      </c>
      <c r="B24" s="6" t="inlineStr">
        <is>
          <t>Progreso de la entrevista</t>
        </is>
      </c>
      <c r="C24" s="6" t="inlineStr">
        <is>
          <t>S</t>
        </is>
      </c>
      <c r="D24" s="6" t="inlineStr">
        <is>
          <t>No</t>
        </is>
      </c>
      <c r="E24" s="6" t="inlineStr"/>
      <c r="F24" s="6" t="inlineStr"/>
      <c r="G24" s="6" t="inlineStr"/>
      <c r="H24" s="6" t="inlineStr"/>
      <c r="I24" s="7" t="n"/>
      <c r="J24" s="7" t="n"/>
      <c r="K24" s="6" t="inlineStr"/>
      <c r="L24" s="10">
        <f>IF(AND(I24&lt;&gt;"",J24&lt;&gt;""),ROUND((J24-I24)*1440-N(K24),0),"")</f>
        <v/>
      </c>
      <c r="M24" s="10">
        <f>IF(E24="","",IF(E24="Línea base",2,1))</f>
        <v/>
      </c>
      <c r="N24" s="10">
        <f>IF(AND(ISNUMBER(L24),ISNUMBER(M24)),L24*M24,"")</f>
        <v/>
      </c>
      <c r="O24" s="6" t="inlineStr"/>
      <c r="P24" s="6" t="n">
        <v>2</v>
      </c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</row>
    <row r="25">
      <c r="A25" s="8" t="inlineStr">
        <is>
          <t>t24</t>
        </is>
      </c>
      <c r="B25" s="8" t="inlineStr">
        <is>
          <t>Enmascarar correo en logs</t>
        </is>
      </c>
      <c r="C25" s="8" t="inlineStr">
        <is>
          <t>S</t>
        </is>
      </c>
      <c r="D25" s="8" t="inlineStr">
        <is>
          <t>No</t>
        </is>
      </c>
      <c r="E25" s="8" t="inlineStr"/>
      <c r="F25" s="8" t="inlineStr"/>
      <c r="G25" s="8" t="inlineStr"/>
      <c r="H25" s="8" t="inlineStr"/>
      <c r="I25" s="9" t="n"/>
      <c r="J25" s="9" t="n"/>
      <c r="K25" s="8" t="inlineStr"/>
      <c r="L25" s="10">
        <f>IF(AND(I25&lt;&gt;"",J25&lt;&gt;""),ROUND((J25-I25)*1440-N(K25),0),"")</f>
        <v/>
      </c>
      <c r="M25" s="10">
        <f>IF(E25="","",IF(E25="Línea base",2,1))</f>
        <v/>
      </c>
      <c r="N25" s="10">
        <f>IF(AND(ISNUMBER(L25),ISNUMBER(M25)),L25*M25,"")</f>
        <v/>
      </c>
      <c r="O25" s="8" t="inlineStr"/>
      <c r="P25" s="8" t="n">
        <v>3</v>
      </c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</row>
    <row r="26">
      <c r="A26" s="6" t="inlineStr">
        <is>
          <t>R1</t>
        </is>
      </c>
      <c r="B26" s="6" t="inlineStr">
        <is>
          <t>Caso recibido 1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7" t="n"/>
      <c r="J26" s="7" t="n"/>
      <c r="K26" s="6" t="inlineStr"/>
      <c r="L26" s="10">
        <f>IF(AND(I26&lt;&gt;"",J26&lt;&gt;""),ROUND((J26-I26)*1440-N(K26),0),"")</f>
        <v/>
      </c>
      <c r="M26" s="10">
        <f>IF(E26="","",IF(E26="Línea base",2,1))</f>
        <v/>
      </c>
      <c r="N26" s="10">
        <f>IF(AND(ISNUMBER(L26),ISNUMBER(M26)),L26*M26,"")</f>
        <v/>
      </c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</row>
    <row r="27">
      <c r="A27" s="8" t="inlineStr">
        <is>
          <t>R2</t>
        </is>
      </c>
      <c r="B27" s="8" t="inlineStr">
        <is>
          <t>Caso recibido 2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9" t="n"/>
      <c r="J27" s="9" t="n"/>
      <c r="K27" s="8" t="inlineStr"/>
      <c r="L27" s="10">
        <f>IF(AND(I27&lt;&gt;"",J27&lt;&gt;""),ROUND((J27-I27)*1440-N(K27),0),"")</f>
        <v/>
      </c>
      <c r="M27" s="10">
        <f>IF(E27="","",IF(E27="Línea base",2,1))</f>
        <v/>
      </c>
      <c r="N27" s="10">
        <f>IF(AND(ISNUMBER(L27),ISNUMBER(M27)),L27*M27,"")</f>
        <v/>
      </c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</row>
    <row r="28">
      <c r="A28" s="6" t="inlineStr">
        <is>
          <t>R3</t>
        </is>
      </c>
      <c r="B28" s="6" t="inlineStr">
        <is>
          <t>Caso recibido 3</t>
        </is>
      </c>
      <c r="C28" s="6" t="inlineStr"/>
      <c r="D28" s="6" t="inlineStr"/>
      <c r="E28" s="6" t="inlineStr"/>
      <c r="F28" s="6" t="inlineStr"/>
      <c r="G28" s="6" t="inlineStr"/>
      <c r="H28" s="6" t="inlineStr"/>
      <c r="I28" s="7" t="n"/>
      <c r="J28" s="7" t="n"/>
      <c r="K28" s="6" t="inlineStr"/>
      <c r="L28" s="10">
        <f>IF(AND(I28&lt;&gt;"",J28&lt;&gt;""),ROUND((J28-I28)*1440-N(K28),0),"")</f>
        <v/>
      </c>
      <c r="M28" s="10">
        <f>IF(E28="","",IF(E28="Línea base",2,1))</f>
        <v/>
      </c>
      <c r="N28" s="10">
        <f>IF(AND(ISNUMBER(L28),ISNUMBER(M28)),L28*M28,"")</f>
        <v/>
      </c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</row>
  </sheetData>
  <conditionalFormatting sqref="E2:E28">
    <cfRule type="cellIs" priority="1" operator="equal" dxfId="0">
      <formula>"Línea base"</formula>
    </cfRule>
    <cfRule type="cellIs" priority="2" operator="equal" dxfId="1">
      <formula>"Ciclo 1"</formula>
    </cfRule>
    <cfRule type="cellIs" priority="3" operator="equal" dxfId="1">
      <formula>"Ciclo 2"</formula>
    </cfRule>
  </conditionalFormatting>
  <conditionalFormatting sqref="O2:O28">
    <cfRule type="cellIs" priority="4" operator="greaterThan" dxfId="2">
      <formula>0</formula>
    </cfRule>
  </conditionalFormatting>
  <dataValidations count="4">
    <dataValidation sqref="E2:E28" showDropDown="0" showInputMessage="0" showErrorMessage="0" allowBlank="1" type="list">
      <formula1>"Línea base,Ciclo 1,Ciclo 2,Recibido,Repuesto,Piloto"</formula1>
    </dataValidation>
    <dataValidation sqref="W2:W28" showDropDown="0" showInputMessage="0" showErrorMessage="0" allowBlank="1" type="list">
      <formula1>"[V],[R],[P],[N],[C]"</formula1>
    </dataValidation>
    <dataValidation sqref="S2:T28" showDropDown="0" showInputMessage="0" showErrorMessage="0" allowBlank="1" type="whole" operator="between">
      <formula1>0</formula1>
      <formula2>5</formula2>
    </dataValidation>
    <dataValidation sqref="U2:U28" showDropDown="0" showInputMessage="0" showErrorMessage="0" allowBlank="1" type="whole" operator="between">
      <formula1>-2</formula1>
      <formula2>2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CC86F"/>
    <outlinePr summaryBelow="1" summaryRight="1"/>
    <pageSetUpPr/>
  </sheetPr>
  <dimension ref="A1:L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4" customWidth="1" min="8" max="8"/>
    <col width="14" customWidth="1" min="9" max="9"/>
    <col width="9" customWidth="1" min="10" max="10"/>
    <col width="30" customWidth="1" min="11" max="11"/>
    <col width="30" customWidth="1" min="12" max="12"/>
  </cols>
  <sheetData>
    <row r="1" ht="42" customHeight="1">
      <c r="A1" s="12" t="inlineStr">
        <is>
          <t>Quien responde NO mira el código ni al agente; el evaluador SÍ tiene el código abierto para puntuar (1 = respuesta correcta y concreta, 0 = vaga o incorrecta). Máx. 5 min por persona. Línea base: cada uno evalúa al otro. Ciclos: quien no condujo evalúa al autor; el compañero lo evalúa el autor.</t>
        </is>
      </c>
    </row>
    <row r="2">
      <c r="A2" s="5" t="inlineStr">
        <is>
          <t>Caso</t>
        </is>
      </c>
      <c r="B2" s="5" t="inlineStr">
        <is>
          <t>Persona evaluada</t>
        </is>
      </c>
      <c r="C2" s="5" t="inlineStr">
        <is>
          <t>Rol</t>
        </is>
      </c>
      <c r="D2" s="5" t="inlineStr">
        <is>
          <t>Evaluador</t>
        </is>
      </c>
      <c r="E2" s="5" t="inlineStr">
        <is>
          <t>P1 Qué hace (0/1)</t>
        </is>
      </c>
      <c r="F2" s="5" t="inlineStr">
        <is>
          <t>P2 Caso borde y dónde (0/1)</t>
        </is>
      </c>
      <c r="G2" s="5" t="inlineStr">
        <is>
          <t>P3 Por qué así y no de otra forma (0/1)</t>
        </is>
      </c>
      <c r="H2" s="5" t="inlineStr">
        <is>
          <t>P4 Si falla con X, dónde mirarías (0/1)</t>
        </is>
      </c>
      <c r="I2" s="5" t="inlineStr">
        <is>
          <t>P5 Si el requisito cambia en Y, qué cambiarías (0/1)</t>
        </is>
      </c>
      <c r="J2" s="5" t="inlineStr">
        <is>
          <t>Total (0–5)</t>
        </is>
      </c>
      <c r="K2" s="5" t="inlineStr">
        <is>
          <t>X e Y que eligió el evaluador</t>
        </is>
      </c>
      <c r="L2" s="5" t="inlineStr">
        <is>
          <t>Notas</t>
        </is>
      </c>
    </row>
    <row r="3">
      <c r="A3" s="6" t="inlineStr"/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>
        <f>IF(COUNT(E2:I2)=0,"",SUM(E2:I2))</f>
        <v/>
      </c>
      <c r="K3" s="6" t="inlineStr"/>
      <c r="L3" s="6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>
        <f>IF(COUNT(E3:I3)=0,"",SUM(E3:I3))</f>
        <v/>
      </c>
      <c r="K4" s="8" t="inlineStr"/>
      <c r="L4" s="8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>
        <f>IF(COUNT(E4:I4)=0,"",SUM(E4:I4))</f>
        <v/>
      </c>
      <c r="K5" s="6" t="inlineStr"/>
      <c r="L5" s="6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>
        <f>IF(COUNT(E5:I5)=0,"",SUM(E5:I5))</f>
        <v/>
      </c>
      <c r="K6" s="8" t="inlineStr"/>
      <c r="L6" s="8" t="inlineStr"/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>
        <f>IF(COUNT(E6:I6)=0,"",SUM(E6:I6))</f>
        <v/>
      </c>
      <c r="K7" s="6" t="inlineStr"/>
      <c r="L7" s="6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>
        <f>IF(COUNT(E7:I7)=0,"",SUM(E7:I7))</f>
        <v/>
      </c>
      <c r="K8" s="8" t="inlineStr"/>
      <c r="L8" s="8" t="inlineStr"/>
    </row>
    <row r="9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>
        <f>IF(COUNT(E8:I8)=0,"",SUM(E8:I8))</f>
        <v/>
      </c>
      <c r="K9" s="6" t="inlineStr"/>
      <c r="L9" s="6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>
        <f>IF(COUNT(E9:I9)=0,"",SUM(E9:I9))</f>
        <v/>
      </c>
      <c r="K10" s="8" t="inlineStr"/>
      <c r="L10" s="8" t="inlineStr"/>
    </row>
    <row r="1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>
        <f>IF(COUNT(E10:I10)=0,"",SUM(E10:I10))</f>
        <v/>
      </c>
      <c r="K11" s="6" t="inlineStr"/>
      <c r="L11" s="6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>
        <f>IF(COUNT(E11:I11)=0,"",SUM(E11:I11))</f>
        <v/>
      </c>
      <c r="K12" s="8" t="inlineStr"/>
      <c r="L12" s="8" t="inlineStr"/>
    </row>
    <row r="13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>
        <f>IF(COUNT(E12:I12)=0,"",SUM(E12:I12))</f>
        <v/>
      </c>
      <c r="K13" s="6" t="inlineStr"/>
      <c r="L13" s="6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>
        <f>IF(COUNT(E13:I13)=0,"",SUM(E13:I13))</f>
        <v/>
      </c>
      <c r="K14" s="8" t="inlineStr"/>
      <c r="L14" s="8" t="inlineStr"/>
    </row>
    <row r="15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>
        <f>IF(COUNT(E14:I14)=0,"",SUM(E14:I14))</f>
        <v/>
      </c>
      <c r="K15" s="6" t="inlineStr"/>
      <c r="L15" s="6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>
        <f>IF(COUNT(E15:I15)=0,"",SUM(E15:I15))</f>
        <v/>
      </c>
      <c r="K16" s="8" t="inlineStr"/>
      <c r="L16" s="8" t="inlineStr"/>
    </row>
    <row r="17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>
        <f>IF(COUNT(E16:I16)=0,"",SUM(E16:I16))</f>
        <v/>
      </c>
      <c r="K17" s="6" t="inlineStr"/>
      <c r="L17" s="6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>
        <f>IF(COUNT(E17:I17)=0,"",SUM(E17:I17))</f>
        <v/>
      </c>
      <c r="K18" s="8" t="inlineStr"/>
      <c r="L18" s="8" t="inlineStr"/>
    </row>
    <row r="19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>
        <f>IF(COUNT(E18:I18)=0,"",SUM(E18:I18))</f>
        <v/>
      </c>
      <c r="K19" s="6" t="inlineStr"/>
      <c r="L19" s="6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>
        <f>IF(COUNT(E19:I19)=0,"",SUM(E19:I19))</f>
        <v/>
      </c>
      <c r="K20" s="8" t="inlineStr"/>
      <c r="L20" s="8" t="inlineStr"/>
    </row>
    <row r="2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>
        <f>IF(COUNT(E20:I20)=0,"",SUM(E20:I20))</f>
        <v/>
      </c>
      <c r="K21" s="6" t="inlineStr"/>
      <c r="L21" s="6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>
        <f>IF(COUNT(E21:I21)=0,"",SUM(E21:I21))</f>
        <v/>
      </c>
      <c r="K22" s="8" t="inlineStr"/>
      <c r="L22" s="8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>
        <f>IF(COUNT(E22:I22)=0,"",SUM(E22:I22))</f>
        <v/>
      </c>
      <c r="K23" s="6" t="inlineStr"/>
      <c r="L23" s="6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>
        <f>IF(COUNT(E23:I23)=0,"",SUM(E23:I23))</f>
        <v/>
      </c>
      <c r="K24" s="8" t="inlineStr"/>
      <c r="L24" s="8" t="inlineStr"/>
    </row>
    <row r="25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>
        <f>IF(COUNT(E24:I24)=0,"",SUM(E24:I24))</f>
        <v/>
      </c>
      <c r="K25" s="6" t="inlineStr"/>
      <c r="L25" s="6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>
        <f>IF(COUNT(E25:I25)=0,"",SUM(E25:I25))</f>
        <v/>
      </c>
      <c r="K26" s="8" t="inlineStr"/>
      <c r="L26" s="8" t="inlineStr"/>
    </row>
    <row r="27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>
        <f>IF(COUNT(E26:I26)=0,"",SUM(E26:I26))</f>
        <v/>
      </c>
      <c r="K27" s="6" t="inlineStr"/>
      <c r="L27" s="6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>
        <f>IF(COUNT(E27:I27)=0,"",SUM(E27:I27))</f>
        <v/>
      </c>
      <c r="K28" s="8" t="inlineStr"/>
      <c r="L28" s="8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>
        <f>IF(COUNT(E28:I28)=0,"",SUM(E28:I28))</f>
        <v/>
      </c>
      <c r="K29" s="6" t="inlineStr"/>
      <c r="L29" s="6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>
        <f>IF(COUNT(E29:I29)=0,"",SUM(E29:I29))</f>
        <v/>
      </c>
      <c r="K30" s="8" t="inlineStr"/>
      <c r="L30" s="8" t="inlineStr"/>
    </row>
    <row r="3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>
        <f>IF(COUNT(E30:I30)=0,"",SUM(E30:I30))</f>
        <v/>
      </c>
      <c r="K31" s="6" t="inlineStr"/>
      <c r="L31" s="6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>
        <f>IF(COUNT(E31:I31)=0,"",SUM(E31:I31))</f>
        <v/>
      </c>
      <c r="K32" s="8" t="inlineStr"/>
      <c r="L32" s="8" t="inlineStr"/>
    </row>
    <row r="33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>
        <f>IF(COUNT(E32:I32)=0,"",SUM(E32:I32))</f>
        <v/>
      </c>
      <c r="K33" s="6" t="inlineStr"/>
      <c r="L33" s="6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>
        <f>IF(COUNT(E33:I33)=0,"",SUM(E33:I33))</f>
        <v/>
      </c>
      <c r="K34" s="8" t="inlineStr"/>
      <c r="L34" s="8" t="inlineStr"/>
    </row>
    <row r="35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>
        <f>IF(COUNT(E34:I34)=0,"",SUM(E34:I34))</f>
        <v/>
      </c>
      <c r="K35" s="6" t="inlineStr"/>
      <c r="L35" s="6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>
        <f>IF(COUNT(E35:I35)=0,"",SUM(E35:I35))</f>
        <v/>
      </c>
      <c r="K36" s="8" t="inlineStr"/>
      <c r="L36" s="8" t="inlineStr"/>
    </row>
    <row r="37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>
        <f>IF(COUNT(E36:I36)=0,"",SUM(E36:I36))</f>
        <v/>
      </c>
      <c r="K37" s="6" t="inlineStr"/>
      <c r="L37" s="6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>
        <f>IF(COUNT(E37:I37)=0,"",SUM(E37:I37))</f>
        <v/>
      </c>
      <c r="K38" s="8" t="inlineStr"/>
      <c r="L38" s="8" t="inlineStr"/>
    </row>
    <row r="39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>
        <f>IF(COUNT(E38:I38)=0,"",SUM(E38:I38))</f>
        <v/>
      </c>
      <c r="K39" s="6" t="inlineStr"/>
      <c r="L39" s="6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>
        <f>IF(COUNT(E39:I39)=0,"",SUM(E39:I39))</f>
        <v/>
      </c>
      <c r="K40" s="8" t="inlineStr"/>
      <c r="L40" s="8" t="inlineStr"/>
    </row>
    <row r="4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>
        <f>IF(COUNT(E40:I40)=0,"",SUM(E40:I40))</f>
        <v/>
      </c>
      <c r="K41" s="6" t="inlineStr"/>
      <c r="L41" s="6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>
        <f>IF(COUNT(E41:I41)=0,"",SUM(E41:I41))</f>
        <v/>
      </c>
      <c r="K42" s="8" t="inlineStr"/>
      <c r="L42" s="8" t="inlineStr"/>
    </row>
    <row r="43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>
        <f>IF(COUNT(E42:I42)=0,"",SUM(E42:I42))</f>
        <v/>
      </c>
      <c r="K43" s="6" t="inlineStr"/>
      <c r="L43" s="6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>
        <f>IF(COUNT(E43:I43)=0,"",SUM(E43:I43))</f>
        <v/>
      </c>
      <c r="K44" s="8" t="inlineStr"/>
      <c r="L44" s="8" t="inlineStr"/>
    </row>
    <row r="45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>
        <f>IF(COUNT(E44:I44)=0,"",SUM(E44:I44))</f>
        <v/>
      </c>
      <c r="K45" s="6" t="inlineStr"/>
      <c r="L45" s="6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>
        <f>IF(COUNT(E45:I45)=0,"",SUM(E45:I45))</f>
        <v/>
      </c>
      <c r="K46" s="8" t="inlineStr"/>
      <c r="L46" s="8" t="inlineStr"/>
    </row>
    <row r="47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>
        <f>IF(COUNT(E46:I46)=0,"",SUM(E46:I46))</f>
        <v/>
      </c>
      <c r="K47" s="6" t="inlineStr"/>
      <c r="L47" s="6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>
        <f>IF(COUNT(E47:I47)=0,"",SUM(E47:I47))</f>
        <v/>
      </c>
      <c r="K48" s="8" t="inlineStr"/>
      <c r="L48" s="8" t="inlineStr"/>
    </row>
    <row r="49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>
        <f>IF(COUNT(E48:I48)=0,"",SUM(E48:I48))</f>
        <v/>
      </c>
      <c r="K49" s="6" t="inlineStr"/>
      <c r="L49" s="6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>
        <f>IF(COUNT(E49:I49)=0,"",SUM(E49:I49))</f>
        <v/>
      </c>
      <c r="K50" s="8" t="inlineStr"/>
      <c r="L50" s="8" t="inlineStr"/>
    </row>
    <row r="5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  <c r="I51" s="6" t="inlineStr"/>
      <c r="J51" s="6">
        <f>IF(COUNT(E50:I50)=0,"",SUM(E50:I50))</f>
        <v/>
      </c>
      <c r="K51" s="6" t="inlineStr"/>
      <c r="L51" s="6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>
        <f>IF(COUNT(E51:I51)=0,"",SUM(E51:I51))</f>
        <v/>
      </c>
      <c r="K52" s="8" t="inlineStr"/>
      <c r="L52" s="8" t="inlineStr"/>
    </row>
    <row r="53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  <c r="I53" s="6" t="inlineStr"/>
      <c r="J53" s="6">
        <f>IF(COUNT(E52:I52)=0,"",SUM(E52:I52))</f>
        <v/>
      </c>
      <c r="K53" s="6" t="inlineStr"/>
      <c r="L53" s="6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>
        <f>IF(COUNT(E53:I53)=0,"",SUM(E53:I53))</f>
        <v/>
      </c>
      <c r="K54" s="8" t="inlineStr"/>
      <c r="L54" s="8" t="inlineStr"/>
    </row>
    <row r="55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  <c r="I55" s="6" t="inlineStr"/>
      <c r="J55" s="6">
        <f>IF(COUNT(E54:I54)=0,"",SUM(E54:I54))</f>
        <v/>
      </c>
      <c r="K55" s="6" t="inlineStr"/>
      <c r="L55" s="6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>
        <f>IF(COUNT(E55:I55)=0,"",SUM(E55:I55))</f>
        <v/>
      </c>
      <c r="K56" s="8" t="inlineStr"/>
      <c r="L56" s="8" t="inlineStr"/>
    </row>
    <row r="57">
      <c r="A57" s="6" t="inlineStr"/>
      <c r="B57" s="6" t="inlineStr"/>
      <c r="C57" s="6" t="inlineStr"/>
      <c r="D57" s="6" t="inlineStr"/>
      <c r="E57" s="6" t="inlineStr"/>
      <c r="F57" s="6" t="inlineStr"/>
      <c r="G57" s="6" t="inlineStr"/>
      <c r="H57" s="6" t="inlineStr"/>
      <c r="I57" s="6" t="inlineStr"/>
      <c r="J57" s="6">
        <f>IF(COUNT(E56:I56)=0,"",SUM(E56:I56))</f>
        <v/>
      </c>
      <c r="K57" s="6" t="inlineStr"/>
      <c r="L57" s="6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>
        <f>IF(COUNT(E57:I57)=0,"",SUM(E57:I57))</f>
        <v/>
      </c>
      <c r="K58" s="8" t="inlineStr"/>
      <c r="L58" s="8" t="inlineStr"/>
    </row>
    <row r="59">
      <c r="A59" s="6" t="inlineStr"/>
      <c r="B59" s="6" t="inlineStr"/>
      <c r="C59" s="6" t="inlineStr"/>
      <c r="D59" s="6" t="inlineStr"/>
      <c r="E59" s="6" t="inlineStr"/>
      <c r="F59" s="6" t="inlineStr"/>
      <c r="G59" s="6" t="inlineStr"/>
      <c r="H59" s="6" t="inlineStr"/>
      <c r="I59" s="6" t="inlineStr"/>
      <c r="J59" s="6">
        <f>IF(COUNT(E58:I58)=0,"",SUM(E58:I58))</f>
        <v/>
      </c>
      <c r="K59" s="6" t="inlineStr"/>
      <c r="L59" s="6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>
        <f>IF(COUNT(E59:I59)=0,"",SUM(E59:I59))</f>
        <v/>
      </c>
      <c r="K60" s="8" t="inlineStr"/>
      <c r="L60" s="8" t="inlineStr"/>
    </row>
    <row r="61">
      <c r="A61" s="6" t="inlineStr"/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6" t="inlineStr"/>
      <c r="J61" s="6">
        <f>IF(COUNT(E60:I60)=0,"",SUM(E60:I60))</f>
        <v/>
      </c>
      <c r="K61" s="6" t="inlineStr"/>
      <c r="L61" s="6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>
        <f>IF(COUNT(E61:I61)=0,"",SUM(E61:I61))</f>
        <v/>
      </c>
      <c r="K62" s="8" t="inlineStr"/>
      <c r="L62" s="8" t="inlineStr"/>
    </row>
  </sheetData>
  <dataValidations count="2">
    <dataValidation sqref="E2:I61" showDropDown="0" showInputMessage="0" showErrorMessage="0" allowBlank="1" type="whole" operator="between">
      <formula1>0</formula1>
      <formula2>1</formula2>
    </dataValidation>
    <dataValidation sqref="C2:C61" showDropDown="0" showInputMessage="0" showErrorMessage="0" allowBlank="1" type="list">
      <formula1>"autor,compañero"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68578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9" customWidth="1" min="4" max="4"/>
    <col width="30" customWidth="1" min="5" max="5"/>
    <col width="30" customWidth="1" min="6" max="6"/>
    <col width="11" customWidth="1" min="7" max="7"/>
    <col width="40" customWidth="1" min="8" max="8"/>
    <col width="14" customWidth="1" min="9" max="9"/>
    <col width="14" customWidth="1" min="10" max="10"/>
    <col width="8" customWidth="1" min="11" max="11"/>
    <col width="12" customWidth="1" min="12" max="12"/>
    <col width="11" customWidth="1" min="13" max="13"/>
    <col width="24" customWidth="1" min="14" max="14"/>
    <col width="8" customWidth="1" min="15" max="15"/>
  </cols>
  <sheetData>
    <row r="1" ht="42" customHeight="1">
      <c r="A1" s="5" t="inlineStr">
        <is>
          <t>ID uso</t>
        </is>
      </c>
      <c r="B1" s="5" t="inlineStr">
        <is>
          <t>Fecha (dd/mm)</t>
        </is>
      </c>
      <c r="C1" s="5" t="inlineStr">
        <is>
          <t>Ciclo</t>
        </is>
      </c>
      <c r="D1" s="5" t="inlineStr">
        <is>
          <t>Caso (ID tarea)</t>
        </is>
      </c>
      <c r="E1" s="5" t="inlineStr">
        <is>
          <t>Entrada que le dieron</t>
        </is>
      </c>
      <c r="F1" s="5" t="inlineStr">
        <is>
          <t>Salida del agente</t>
        </is>
      </c>
      <c r="G1" s="5" t="inlineStr">
        <is>
          <t>Decisión</t>
        </is>
      </c>
      <c r="H1" s="5" t="inlineStr">
        <is>
          <t>Razón</t>
        </is>
      </c>
      <c r="I1" s="5" t="inlineStr">
        <is>
          <t>Responsable</t>
        </is>
      </c>
      <c r="J1" s="5" t="inlineStr">
        <is>
          <t>Agente / versión spec</t>
        </is>
      </c>
      <c r="K1" s="5" t="inlineStr">
        <is>
          <t>Minutos</t>
        </is>
      </c>
      <c r="L1" s="5" t="inlineStr">
        <is>
          <t>¿Aceptada sin modificar?</t>
        </is>
      </c>
      <c r="M1" s="5" t="inlineStr">
        <is>
          <t>Error detectado (sí/no)</t>
        </is>
      </c>
      <c r="N1" s="5" t="inlineStr">
        <is>
          <t>¿Cómo se detectó?</t>
        </is>
      </c>
      <c r="O1" s="5" t="inlineStr">
        <is>
          <t>Marca</t>
        </is>
      </c>
    </row>
    <row r="2">
      <c r="A2" s="6" t="inlineStr">
        <is>
          <t>U001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8" t="inlineStr">
        <is>
          <t>U002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</row>
    <row r="4">
      <c r="A4" s="6" t="inlineStr">
        <is>
          <t>U003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</row>
    <row r="5">
      <c r="A5" s="8" t="inlineStr">
        <is>
          <t>U004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</row>
    <row r="6">
      <c r="A6" s="6" t="inlineStr">
        <is>
          <t>U005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  <row r="7">
      <c r="A7" s="8" t="inlineStr">
        <is>
          <t>U006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</row>
    <row r="8">
      <c r="A8" s="6" t="inlineStr">
        <is>
          <t>U007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>
      <c r="A9" s="8" t="inlineStr">
        <is>
          <t>U008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</row>
    <row r="10">
      <c r="A10" s="6" t="inlineStr">
        <is>
          <t>U009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>
      <c r="A11" s="8" t="inlineStr">
        <is>
          <t>U010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6" t="inlineStr">
        <is>
          <t>U011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8" t="inlineStr">
        <is>
          <t>U012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</row>
    <row r="14">
      <c r="A14" s="6" t="inlineStr">
        <is>
          <t>U013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</row>
    <row r="15">
      <c r="A15" s="8" t="inlineStr">
        <is>
          <t>U014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</row>
    <row r="16">
      <c r="A16" s="6" t="inlineStr">
        <is>
          <t>U015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</row>
    <row r="17">
      <c r="A17" s="8" t="inlineStr">
        <is>
          <t>U016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</row>
    <row r="18">
      <c r="A18" s="6" t="inlineStr">
        <is>
          <t>U017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</row>
    <row r="19">
      <c r="A19" s="8" t="inlineStr">
        <is>
          <t>U018</t>
        </is>
      </c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</row>
    <row r="20">
      <c r="A20" s="6" t="inlineStr">
        <is>
          <t>U019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</row>
    <row r="21">
      <c r="A21" s="8" t="inlineStr">
        <is>
          <t>U020</t>
        </is>
      </c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6" t="inlineStr">
        <is>
          <t>U021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</row>
    <row r="23">
      <c r="A23" s="8" t="inlineStr">
        <is>
          <t>U022</t>
        </is>
      </c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</row>
    <row r="24">
      <c r="A24" s="6" t="inlineStr">
        <is>
          <t>U023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</row>
    <row r="25">
      <c r="A25" s="8" t="inlineStr">
        <is>
          <t>U024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</row>
    <row r="26">
      <c r="A26" s="6" t="inlineStr">
        <is>
          <t>U025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  <row r="27">
      <c r="A27" s="8" t="inlineStr">
        <is>
          <t>U026</t>
        </is>
      </c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</row>
    <row r="28">
      <c r="A28" s="6" t="inlineStr">
        <is>
          <t>U027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</row>
    <row r="29">
      <c r="A29" s="8" t="inlineStr">
        <is>
          <t>U028</t>
        </is>
      </c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</row>
    <row r="30">
      <c r="A30" s="6" t="inlineStr">
        <is>
          <t>U029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</row>
    <row r="31">
      <c r="A31" s="8" t="inlineStr">
        <is>
          <t>U030</t>
        </is>
      </c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</row>
    <row r="32">
      <c r="A32" s="6" t="inlineStr">
        <is>
          <t>U031</t>
        </is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</row>
    <row r="33">
      <c r="A33" s="8" t="inlineStr">
        <is>
          <t>U032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</row>
    <row r="34">
      <c r="A34" s="6" t="inlineStr">
        <is>
          <t>U033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</row>
    <row r="35">
      <c r="A35" s="8" t="inlineStr">
        <is>
          <t>U034</t>
        </is>
      </c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</row>
    <row r="36">
      <c r="A36" s="6" t="inlineStr">
        <is>
          <t>U035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</row>
    <row r="37">
      <c r="A37" s="8" t="inlineStr">
        <is>
          <t>U036</t>
        </is>
      </c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</row>
    <row r="38">
      <c r="A38" s="6" t="inlineStr">
        <is>
          <t>U037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</row>
    <row r="39">
      <c r="A39" s="8" t="inlineStr">
        <is>
          <t>U038</t>
        </is>
      </c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</row>
    <row r="40">
      <c r="A40" s="6" t="inlineStr">
        <is>
          <t>U039</t>
        </is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</row>
    <row r="41">
      <c r="A41" s="8" t="inlineStr">
        <is>
          <t>U040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</row>
    <row r="42">
      <c r="A42" s="6" t="inlineStr">
        <is>
          <t>U041</t>
        </is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</row>
    <row r="43">
      <c r="A43" s="8" t="inlineStr">
        <is>
          <t>U042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</row>
    <row r="44">
      <c r="A44" s="6" t="inlineStr">
        <is>
          <t>U043</t>
        </is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</row>
    <row r="45">
      <c r="A45" s="8" t="inlineStr">
        <is>
          <t>U044</t>
        </is>
      </c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</row>
    <row r="46">
      <c r="A46" s="6" t="inlineStr">
        <is>
          <t>U045</t>
        </is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</row>
    <row r="47">
      <c r="A47" s="8" t="inlineStr">
        <is>
          <t>U046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</row>
    <row r="48">
      <c r="A48" s="6" t="inlineStr">
        <is>
          <t>U047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</row>
    <row r="49">
      <c r="A49" s="8" t="inlineStr">
        <is>
          <t>U048</t>
        </is>
      </c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</row>
    <row r="50">
      <c r="A50" s="6" t="inlineStr">
        <is>
          <t>U049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</row>
    <row r="51">
      <c r="A51" s="8" t="inlineStr">
        <is>
          <t>U050</t>
        </is>
      </c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</row>
    <row r="52">
      <c r="A52" s="6" t="inlineStr">
        <is>
          <t>U051</t>
        </is>
      </c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</row>
    <row r="53">
      <c r="A53" s="8" t="inlineStr">
        <is>
          <t>U052</t>
        </is>
      </c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</row>
    <row r="54">
      <c r="A54" s="6" t="inlineStr">
        <is>
          <t>U053</t>
        </is>
      </c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</row>
    <row r="55">
      <c r="A55" s="8" t="inlineStr">
        <is>
          <t>U054</t>
        </is>
      </c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</row>
    <row r="56">
      <c r="A56" s="6" t="inlineStr">
        <is>
          <t>U055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</row>
    <row r="57">
      <c r="A57" s="8" t="inlineStr">
        <is>
          <t>U056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</row>
    <row r="58">
      <c r="A58" s="6" t="inlineStr">
        <is>
          <t>U057</t>
        </is>
      </c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</row>
    <row r="59">
      <c r="A59" s="8" t="inlineStr">
        <is>
          <t>U058</t>
        </is>
      </c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</row>
    <row r="60">
      <c r="A60" s="6" t="inlineStr">
        <is>
          <t>U059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</row>
    <row r="61">
      <c r="A61" s="8" t="inlineStr">
        <is>
          <t>U060</t>
        </is>
      </c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</row>
  </sheetData>
  <dataValidations count="4">
    <dataValidation sqref="G2:G61" showDropDown="0" showInputMessage="0" showErrorMessage="0" allowBlank="1" type="list">
      <formula1>"aceptar,corregir,rechazar"</formula1>
    </dataValidation>
    <dataValidation sqref="C2:C61" showDropDown="0" showInputMessage="0" showErrorMessage="0" allowBlank="1" type="list">
      <formula1>"Ciclo 1,Ciclo 2"</formula1>
    </dataValidation>
    <dataValidation sqref="L2:M61" showDropDown="0" showInputMessage="0" showErrorMessage="0" allowBlank="1" type="list">
      <formula1>"sí,no"</formula1>
    </dataValidation>
    <dataValidation sqref="O2:O61" showDropDown="0" showInputMessage="0" showErrorMessage="0" allowBlank="1" type="list">
      <formula1>"[V],[R],[P],[N],[C]"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9794A"/>
    <outlinePr summaryBelow="1" summaryRight="1"/>
    <pageSetUpPr/>
  </sheetPr>
  <dimension ref="A1:F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3" t="inlineStr">
        <is>
          <t>Resumen automático (promedios y conteos; solo cuenta filas con duración). Mediana y rango: 07 - Analisis/Scripts/resumen_medicion.py</t>
        </is>
      </c>
    </row>
    <row r="2" ht="42" customHeight="1">
      <c r="A2" s="5" t="inlineStr">
        <is>
          <t>Métrica</t>
        </is>
      </c>
      <c r="B2" s="5" t="inlineStr">
        <is>
          <t>Condición</t>
        </is>
      </c>
      <c r="C2" s="5" t="inlineStr">
        <is>
          <t>S</t>
        </is>
      </c>
      <c r="D2" s="5" t="inlineStr">
        <is>
          <t>M</t>
        </is>
      </c>
      <c r="E2" s="5" t="inlineStr">
        <is>
          <t>L</t>
        </is>
      </c>
      <c r="F2" s="5" t="inlineStr">
        <is>
          <t>Total</t>
        </is>
      </c>
    </row>
    <row r="3">
      <c r="A3" s="6" t="inlineStr">
        <is>
          <t>Tareas medidas (n)</t>
        </is>
      </c>
      <c r="B3" s="6" t="inlineStr">
        <is>
          <t>Línea base</t>
        </is>
      </c>
      <c r="C3" s="6">
        <f>COUNTIFS('Medicion por caso'!$E:$E,"Línea base",'Medicion por caso'!$L:$L,"&gt;=0",'Medicion por caso'!$C:$C,"S")</f>
        <v/>
      </c>
      <c r="D3" s="6">
        <f>COUNTIFS('Medicion por caso'!$E:$E,"Línea base",'Medicion por caso'!$L:$L,"&gt;=0",'Medicion por caso'!$C:$C,"M")</f>
        <v/>
      </c>
      <c r="E3" s="6">
        <f>COUNTIFS('Medicion por caso'!$E:$E,"Línea base",'Medicion por caso'!$L:$L,"&gt;=0",'Medicion por caso'!$C:$C,"L")</f>
        <v/>
      </c>
      <c r="F3" s="6">
        <f>COUNTIFS('Medicion por caso'!$E:$E,"Línea base",'Medicion por caso'!$L:$L,"&gt;=0")</f>
        <v/>
      </c>
    </row>
    <row r="4">
      <c r="A4" s="8" t="inlineStr">
        <is>
          <t>Tareas medidas (n)</t>
        </is>
      </c>
      <c r="B4" s="8" t="inlineStr">
        <is>
          <t>Ciclo 1</t>
        </is>
      </c>
      <c r="C4" s="8">
        <f>COUNTIFS('Medicion por caso'!$E:$E,"Ciclo 1",'Medicion por caso'!$L:$L,"&gt;=0",'Medicion por caso'!$C:$C,"S")</f>
        <v/>
      </c>
      <c r="D4" s="8">
        <f>COUNTIFS('Medicion por caso'!$E:$E,"Ciclo 1",'Medicion por caso'!$L:$L,"&gt;=0",'Medicion por caso'!$C:$C,"M")</f>
        <v/>
      </c>
      <c r="E4" s="8">
        <f>COUNTIFS('Medicion por caso'!$E:$E,"Ciclo 1",'Medicion por caso'!$L:$L,"&gt;=0",'Medicion por caso'!$C:$C,"L")</f>
        <v/>
      </c>
      <c r="F4" s="8">
        <f>COUNTIFS('Medicion por caso'!$E:$E,"Ciclo 1",'Medicion por caso'!$L:$L,"&gt;=0")</f>
        <v/>
      </c>
    </row>
    <row r="5">
      <c r="A5" s="6" t="inlineStr">
        <is>
          <t>Tareas medidas (n)</t>
        </is>
      </c>
      <c r="B5" s="6" t="inlineStr">
        <is>
          <t>Ciclo 2</t>
        </is>
      </c>
      <c r="C5" s="6">
        <f>COUNTIFS('Medicion por caso'!$E:$E,"Ciclo 2",'Medicion por caso'!$L:$L,"&gt;=0",'Medicion por caso'!$C:$C,"S")</f>
        <v/>
      </c>
      <c r="D5" s="6">
        <f>COUNTIFS('Medicion por caso'!$E:$E,"Ciclo 2",'Medicion por caso'!$L:$L,"&gt;=0",'Medicion por caso'!$C:$C,"M")</f>
        <v/>
      </c>
      <c r="E5" s="6">
        <f>COUNTIFS('Medicion por caso'!$E:$E,"Ciclo 2",'Medicion por caso'!$L:$L,"&gt;=0",'Medicion por caso'!$C:$C,"L")</f>
        <v/>
      </c>
      <c r="F5" s="6">
        <f>COUNTIFS('Medicion por caso'!$E:$E,"Ciclo 2",'Medicion por caso'!$L:$L,"&gt;=0")</f>
        <v/>
      </c>
    </row>
    <row r="6">
      <c r="A6" s="8" t="inlineStr">
        <is>
          <t>Duración media (min) · M1</t>
        </is>
      </c>
      <c r="B6" s="8" t="inlineStr">
        <is>
          <t>Línea base</t>
        </is>
      </c>
      <c r="C6" s="8">
        <f>IFERROR(ROUND(AVERAGEIFS('Medicion por caso'!$L:$L,'Medicion por caso'!$E:$E,"Línea base",'Medicion por caso'!$L:$L,"&gt;=0",'Medicion por caso'!$C:$C,"S"),1),"—")</f>
        <v/>
      </c>
      <c r="D6" s="8">
        <f>IFERROR(ROUND(AVERAGEIFS('Medicion por caso'!$L:$L,'Medicion por caso'!$E:$E,"Línea base",'Medicion por caso'!$L:$L,"&gt;=0",'Medicion por caso'!$C:$C,"M"),1),"—")</f>
        <v/>
      </c>
      <c r="E6" s="8">
        <f>IFERROR(ROUND(AVERAGEIFS('Medicion por caso'!$L:$L,'Medicion por caso'!$E:$E,"Línea base",'Medicion por caso'!$L:$L,"&gt;=0",'Medicion por caso'!$C:$C,"L"),1),"—")</f>
        <v/>
      </c>
      <c r="F6" s="8">
        <f>IFERROR(ROUND(AVERAGEIFS('Medicion por caso'!$L:$L,'Medicion por caso'!$E:$E,"Línea base",'Medicion por caso'!$L:$L,"&gt;=0"),1),"—")</f>
        <v/>
      </c>
    </row>
    <row r="7">
      <c r="A7" s="6" t="inlineStr">
        <is>
          <t>Duración media (min) · M1</t>
        </is>
      </c>
      <c r="B7" s="6" t="inlineStr">
        <is>
          <t>Ciclo 1</t>
        </is>
      </c>
      <c r="C7" s="6">
        <f>IFERROR(ROUND(AVERAGEIFS('Medicion por caso'!$L:$L,'Medicion por caso'!$E:$E,"Ciclo 1",'Medicion por caso'!$L:$L,"&gt;=0",'Medicion por caso'!$C:$C,"S"),1),"—")</f>
        <v/>
      </c>
      <c r="D7" s="6">
        <f>IFERROR(ROUND(AVERAGEIFS('Medicion por caso'!$L:$L,'Medicion por caso'!$E:$E,"Ciclo 1",'Medicion por caso'!$L:$L,"&gt;=0",'Medicion por caso'!$C:$C,"M"),1),"—")</f>
        <v/>
      </c>
      <c r="E7" s="6">
        <f>IFERROR(ROUND(AVERAGEIFS('Medicion por caso'!$L:$L,'Medicion por caso'!$E:$E,"Ciclo 1",'Medicion por caso'!$L:$L,"&gt;=0",'Medicion por caso'!$C:$C,"L"),1),"—")</f>
        <v/>
      </c>
      <c r="F7" s="6">
        <f>IFERROR(ROUND(AVERAGEIFS('Medicion por caso'!$L:$L,'Medicion por caso'!$E:$E,"Ciclo 1",'Medicion por caso'!$L:$L,"&gt;=0"),1),"—")</f>
        <v/>
      </c>
    </row>
    <row r="8">
      <c r="A8" s="8" t="inlineStr">
        <is>
          <t>Duración media (min) · M1</t>
        </is>
      </c>
      <c r="B8" s="8" t="inlineStr">
        <is>
          <t>Ciclo 2</t>
        </is>
      </c>
      <c r="C8" s="8">
        <f>IFERROR(ROUND(AVERAGEIFS('Medicion por caso'!$L:$L,'Medicion por caso'!$E:$E,"Ciclo 2",'Medicion por caso'!$L:$L,"&gt;=0",'Medicion por caso'!$C:$C,"S"),1),"—")</f>
        <v/>
      </c>
      <c r="D8" s="8">
        <f>IFERROR(ROUND(AVERAGEIFS('Medicion por caso'!$L:$L,'Medicion por caso'!$E:$E,"Ciclo 2",'Medicion por caso'!$L:$L,"&gt;=0",'Medicion por caso'!$C:$C,"M"),1),"—")</f>
        <v/>
      </c>
      <c r="E8" s="8">
        <f>IFERROR(ROUND(AVERAGEIFS('Medicion por caso'!$L:$L,'Medicion por caso'!$E:$E,"Ciclo 2",'Medicion por caso'!$L:$L,"&gt;=0",'Medicion por caso'!$C:$C,"L"),1),"—")</f>
        <v/>
      </c>
      <c r="F8" s="8">
        <f>IFERROR(ROUND(AVERAGEIFS('Medicion por caso'!$L:$L,'Medicion por caso'!$E:$E,"Ciclo 2",'Medicion por caso'!$L:$L,"&gt;=0"),1),"—")</f>
        <v/>
      </c>
    </row>
    <row r="9">
      <c r="A9" s="6" t="inlineStr">
        <is>
          <t>Esfuerzo medio (min·pers.) · M2</t>
        </is>
      </c>
      <c r="B9" s="6" t="inlineStr">
        <is>
          <t>Línea base</t>
        </is>
      </c>
      <c r="C9" s="6">
        <f>IFERROR(ROUND(AVERAGEIFS('Medicion por caso'!$N:$N,'Medicion por caso'!$E:$E,"Línea base",'Medicion por caso'!$L:$L,"&gt;=0",'Medicion por caso'!$C:$C,"S"),1),"—")</f>
        <v/>
      </c>
      <c r="D9" s="6">
        <f>IFERROR(ROUND(AVERAGEIFS('Medicion por caso'!$N:$N,'Medicion por caso'!$E:$E,"Línea base",'Medicion por caso'!$L:$L,"&gt;=0",'Medicion por caso'!$C:$C,"M"),1),"—")</f>
        <v/>
      </c>
      <c r="E9" s="6">
        <f>IFERROR(ROUND(AVERAGEIFS('Medicion por caso'!$N:$N,'Medicion por caso'!$E:$E,"Línea base",'Medicion por caso'!$L:$L,"&gt;=0",'Medicion por caso'!$C:$C,"L"),1),"—")</f>
        <v/>
      </c>
      <c r="F9" s="6">
        <f>IFERROR(ROUND(AVERAGEIFS('Medicion por caso'!$N:$N,'Medicion por caso'!$E:$E,"Línea base",'Medicion por caso'!$L:$L,"&gt;=0"),1),"—")</f>
        <v/>
      </c>
    </row>
    <row r="10">
      <c r="A10" s="8" t="inlineStr">
        <is>
          <t>Esfuerzo medio (min·pers.) · M2</t>
        </is>
      </c>
      <c r="B10" s="8" t="inlineStr">
        <is>
          <t>Ciclo 1</t>
        </is>
      </c>
      <c r="C10" s="8">
        <f>IFERROR(ROUND(AVERAGEIFS('Medicion por caso'!$N:$N,'Medicion por caso'!$E:$E,"Ciclo 1",'Medicion por caso'!$L:$L,"&gt;=0",'Medicion por caso'!$C:$C,"S"),1),"—")</f>
        <v/>
      </c>
      <c r="D10" s="8">
        <f>IFERROR(ROUND(AVERAGEIFS('Medicion por caso'!$N:$N,'Medicion por caso'!$E:$E,"Ciclo 1",'Medicion por caso'!$L:$L,"&gt;=0",'Medicion por caso'!$C:$C,"M"),1),"—")</f>
        <v/>
      </c>
      <c r="E10" s="8">
        <f>IFERROR(ROUND(AVERAGEIFS('Medicion por caso'!$N:$N,'Medicion por caso'!$E:$E,"Ciclo 1",'Medicion por caso'!$L:$L,"&gt;=0",'Medicion por caso'!$C:$C,"L"),1),"—")</f>
        <v/>
      </c>
      <c r="F10" s="8">
        <f>IFERROR(ROUND(AVERAGEIFS('Medicion por caso'!$N:$N,'Medicion por caso'!$E:$E,"Ciclo 1",'Medicion por caso'!$L:$L,"&gt;=0"),1),"—")</f>
        <v/>
      </c>
    </row>
    <row r="11">
      <c r="A11" s="6" t="inlineStr">
        <is>
          <t>Esfuerzo medio (min·pers.) · M2</t>
        </is>
      </c>
      <c r="B11" s="6" t="inlineStr">
        <is>
          <t>Ciclo 2</t>
        </is>
      </c>
      <c r="C11" s="6">
        <f>IFERROR(ROUND(AVERAGEIFS('Medicion por caso'!$N:$N,'Medicion por caso'!$E:$E,"Ciclo 2",'Medicion por caso'!$L:$L,"&gt;=0",'Medicion por caso'!$C:$C,"S"),1),"—")</f>
        <v/>
      </c>
      <c r="D11" s="6">
        <f>IFERROR(ROUND(AVERAGEIFS('Medicion por caso'!$N:$N,'Medicion por caso'!$E:$E,"Ciclo 2",'Medicion por caso'!$L:$L,"&gt;=0",'Medicion por caso'!$C:$C,"M"),1),"—")</f>
        <v/>
      </c>
      <c r="E11" s="6">
        <f>IFERROR(ROUND(AVERAGEIFS('Medicion por caso'!$N:$N,'Medicion por caso'!$E:$E,"Ciclo 2",'Medicion por caso'!$L:$L,"&gt;=0",'Medicion por caso'!$C:$C,"L"),1),"—")</f>
        <v/>
      </c>
      <c r="F11" s="6">
        <f>IFERROR(ROUND(AVERAGEIFS('Medicion por caso'!$N:$N,'Medicion por caso'!$E:$E,"Ciclo 2",'Medicion por caso'!$L:$L,"&gt;=0"),1),"—")</f>
        <v/>
      </c>
    </row>
    <row r="12">
      <c r="A12" s="8" t="inlineStr">
        <is>
          <t>Ocultas que fallan (suma) · M3</t>
        </is>
      </c>
      <c r="B12" s="8" t="inlineStr">
        <is>
          <t>Línea base</t>
        </is>
      </c>
      <c r="C12" s="8">
        <f>SUMIFS('Medicion por caso'!$O:$O,'Medicion por caso'!$E:$E,"Línea base",'Medicion por caso'!$L:$L,"&gt;=0",'Medicion por caso'!$C:$C,"S")</f>
        <v/>
      </c>
      <c r="D12" s="8">
        <f>SUMIFS('Medicion por caso'!$O:$O,'Medicion por caso'!$E:$E,"Línea base",'Medicion por caso'!$L:$L,"&gt;=0",'Medicion por caso'!$C:$C,"M")</f>
        <v/>
      </c>
      <c r="E12" s="8">
        <f>SUMIFS('Medicion por caso'!$O:$O,'Medicion por caso'!$E:$E,"Línea base",'Medicion por caso'!$L:$L,"&gt;=0",'Medicion por caso'!$C:$C,"L")</f>
        <v/>
      </c>
      <c r="F12" s="8">
        <f>SUMIFS('Medicion por caso'!$O:$O,'Medicion por caso'!$E:$E,"Línea base",'Medicion por caso'!$L:$L,"&gt;=0")</f>
        <v/>
      </c>
    </row>
    <row r="13">
      <c r="A13" s="6" t="inlineStr">
        <is>
          <t>Ocultas que fallan (suma) · M3</t>
        </is>
      </c>
      <c r="B13" s="6" t="inlineStr">
        <is>
          <t>Ciclo 1</t>
        </is>
      </c>
      <c r="C13" s="6">
        <f>SUMIFS('Medicion por caso'!$O:$O,'Medicion por caso'!$E:$E,"Ciclo 1",'Medicion por caso'!$L:$L,"&gt;=0",'Medicion por caso'!$C:$C,"S")</f>
        <v/>
      </c>
      <c r="D13" s="6">
        <f>SUMIFS('Medicion por caso'!$O:$O,'Medicion por caso'!$E:$E,"Ciclo 1",'Medicion por caso'!$L:$L,"&gt;=0",'Medicion por caso'!$C:$C,"M")</f>
        <v/>
      </c>
      <c r="E13" s="6">
        <f>SUMIFS('Medicion por caso'!$O:$O,'Medicion por caso'!$E:$E,"Ciclo 1",'Medicion por caso'!$L:$L,"&gt;=0",'Medicion por caso'!$C:$C,"L")</f>
        <v/>
      </c>
      <c r="F13" s="6">
        <f>SUMIFS('Medicion por caso'!$O:$O,'Medicion por caso'!$E:$E,"Ciclo 1",'Medicion por caso'!$L:$L,"&gt;=0")</f>
        <v/>
      </c>
    </row>
    <row r="14">
      <c r="A14" s="8" t="inlineStr">
        <is>
          <t>Ocultas que fallan (suma) · M3</t>
        </is>
      </c>
      <c r="B14" s="8" t="inlineStr">
        <is>
          <t>Ciclo 2</t>
        </is>
      </c>
      <c r="C14" s="8">
        <f>SUMIFS('Medicion por caso'!$O:$O,'Medicion por caso'!$E:$E,"Ciclo 2",'Medicion por caso'!$L:$L,"&gt;=0",'Medicion por caso'!$C:$C,"S")</f>
        <v/>
      </c>
      <c r="D14" s="8">
        <f>SUMIFS('Medicion por caso'!$O:$O,'Medicion por caso'!$E:$E,"Ciclo 2",'Medicion por caso'!$L:$L,"&gt;=0",'Medicion por caso'!$C:$C,"M")</f>
        <v/>
      </c>
      <c r="E14" s="8">
        <f>SUMIFS('Medicion por caso'!$O:$O,'Medicion por caso'!$E:$E,"Ciclo 2",'Medicion por caso'!$L:$L,"&gt;=0",'Medicion por caso'!$C:$C,"L")</f>
        <v/>
      </c>
      <c r="F14" s="8">
        <f>SUMIFS('Medicion por caso'!$O:$O,'Medicion por caso'!$E:$E,"Ciclo 2",'Medicion por caso'!$L:$L,"&gt;=0")</f>
        <v/>
      </c>
    </row>
    <row r="15">
      <c r="A15" s="6" t="inlineStr">
        <is>
          <t>Ocultas totales (suma)</t>
        </is>
      </c>
      <c r="B15" s="6" t="inlineStr">
        <is>
          <t>Línea base</t>
        </is>
      </c>
      <c r="C15" s="6">
        <f>SUMIFS('Medicion por caso'!$P:$P,'Medicion por caso'!$E:$E,"Línea base",'Medicion por caso'!$L:$L,"&gt;=0",'Medicion por caso'!$C:$C,"S")</f>
        <v/>
      </c>
      <c r="D15" s="6">
        <f>SUMIFS('Medicion por caso'!$P:$P,'Medicion por caso'!$E:$E,"Línea base",'Medicion por caso'!$L:$L,"&gt;=0",'Medicion por caso'!$C:$C,"M")</f>
        <v/>
      </c>
      <c r="E15" s="6">
        <f>SUMIFS('Medicion por caso'!$P:$P,'Medicion por caso'!$E:$E,"Línea base",'Medicion por caso'!$L:$L,"&gt;=0",'Medicion por caso'!$C:$C,"L")</f>
        <v/>
      </c>
      <c r="F15" s="6">
        <f>SUMIFS('Medicion por caso'!$P:$P,'Medicion por caso'!$E:$E,"Línea base",'Medicion por caso'!$L:$L,"&gt;=0")</f>
        <v/>
      </c>
    </row>
    <row r="16">
      <c r="A16" s="8" t="inlineStr">
        <is>
          <t>Ocultas totales (suma)</t>
        </is>
      </c>
      <c r="B16" s="8" t="inlineStr">
        <is>
          <t>Ciclo 1</t>
        </is>
      </c>
      <c r="C16" s="8">
        <f>SUMIFS('Medicion por caso'!$P:$P,'Medicion por caso'!$E:$E,"Ciclo 1",'Medicion por caso'!$L:$L,"&gt;=0",'Medicion por caso'!$C:$C,"S")</f>
        <v/>
      </c>
      <c r="D16" s="8">
        <f>SUMIFS('Medicion por caso'!$P:$P,'Medicion por caso'!$E:$E,"Ciclo 1",'Medicion por caso'!$L:$L,"&gt;=0",'Medicion por caso'!$C:$C,"M")</f>
        <v/>
      </c>
      <c r="E16" s="8">
        <f>SUMIFS('Medicion por caso'!$P:$P,'Medicion por caso'!$E:$E,"Ciclo 1",'Medicion por caso'!$L:$L,"&gt;=0",'Medicion por caso'!$C:$C,"L")</f>
        <v/>
      </c>
      <c r="F16" s="8">
        <f>SUMIFS('Medicion por caso'!$P:$P,'Medicion por caso'!$E:$E,"Ciclo 1",'Medicion por caso'!$L:$L,"&gt;=0")</f>
        <v/>
      </c>
    </row>
    <row r="17">
      <c r="A17" s="6" t="inlineStr">
        <is>
          <t>Ocultas totales (suma)</t>
        </is>
      </c>
      <c r="B17" s="6" t="inlineStr">
        <is>
          <t>Ciclo 2</t>
        </is>
      </c>
      <c r="C17" s="6">
        <f>SUMIFS('Medicion por caso'!$P:$P,'Medicion por caso'!$E:$E,"Ciclo 2",'Medicion por caso'!$L:$L,"&gt;=0",'Medicion por caso'!$C:$C,"S")</f>
        <v/>
      </c>
      <c r="D17" s="6">
        <f>SUMIFS('Medicion por caso'!$P:$P,'Medicion por caso'!$E:$E,"Ciclo 2",'Medicion por caso'!$L:$L,"&gt;=0",'Medicion por caso'!$C:$C,"M")</f>
        <v/>
      </c>
      <c r="E17" s="6">
        <f>SUMIFS('Medicion por caso'!$P:$P,'Medicion por caso'!$E:$E,"Ciclo 2",'Medicion por caso'!$L:$L,"&gt;=0",'Medicion por caso'!$C:$C,"L")</f>
        <v/>
      </c>
      <c r="F17" s="6">
        <f>SUMIFS('Medicion por caso'!$P:$P,'Medicion por caso'!$E:$E,"Ciclo 2",'Medicion por caso'!$L:$L,"&gt;=0")</f>
        <v/>
      </c>
    </row>
    <row r="18">
      <c r="A18" s="8" t="inlineStr">
        <is>
          <t>Retrabajo medio (min) · M4</t>
        </is>
      </c>
      <c r="B18" s="8" t="inlineStr">
        <is>
          <t>Línea base</t>
        </is>
      </c>
      <c r="C18" s="8">
        <f>IFERROR(ROUND(AVERAGEIFS('Medicion por caso'!$Q:$Q,'Medicion por caso'!$E:$E,"Línea base",'Medicion por caso'!$L:$L,"&gt;=0",'Medicion por caso'!$C:$C,"S"),1),"—")</f>
        <v/>
      </c>
      <c r="D18" s="8">
        <f>IFERROR(ROUND(AVERAGEIFS('Medicion por caso'!$Q:$Q,'Medicion por caso'!$E:$E,"Línea base",'Medicion por caso'!$L:$L,"&gt;=0",'Medicion por caso'!$C:$C,"M"),1),"—")</f>
        <v/>
      </c>
      <c r="E18" s="8">
        <f>IFERROR(ROUND(AVERAGEIFS('Medicion por caso'!$Q:$Q,'Medicion por caso'!$E:$E,"Línea base",'Medicion por caso'!$L:$L,"&gt;=0",'Medicion por caso'!$C:$C,"L"),1),"—")</f>
        <v/>
      </c>
      <c r="F18" s="8">
        <f>IFERROR(ROUND(AVERAGEIFS('Medicion por caso'!$Q:$Q,'Medicion por caso'!$E:$E,"Línea base",'Medicion por caso'!$L:$L,"&gt;=0"),1),"—")</f>
        <v/>
      </c>
    </row>
    <row r="19">
      <c r="A19" s="6" t="inlineStr">
        <is>
          <t>Retrabajo medio (min) · M4</t>
        </is>
      </c>
      <c r="B19" s="6" t="inlineStr">
        <is>
          <t>Ciclo 1</t>
        </is>
      </c>
      <c r="C19" s="6">
        <f>IFERROR(ROUND(AVERAGEIFS('Medicion por caso'!$Q:$Q,'Medicion por caso'!$E:$E,"Ciclo 1",'Medicion por caso'!$L:$L,"&gt;=0",'Medicion por caso'!$C:$C,"S"),1),"—")</f>
        <v/>
      </c>
      <c r="D19" s="6">
        <f>IFERROR(ROUND(AVERAGEIFS('Medicion por caso'!$Q:$Q,'Medicion por caso'!$E:$E,"Ciclo 1",'Medicion por caso'!$L:$L,"&gt;=0",'Medicion por caso'!$C:$C,"M"),1),"—")</f>
        <v/>
      </c>
      <c r="E19" s="6">
        <f>IFERROR(ROUND(AVERAGEIFS('Medicion por caso'!$Q:$Q,'Medicion por caso'!$E:$E,"Ciclo 1",'Medicion por caso'!$L:$L,"&gt;=0",'Medicion por caso'!$C:$C,"L"),1),"—")</f>
        <v/>
      </c>
      <c r="F19" s="6">
        <f>IFERROR(ROUND(AVERAGEIFS('Medicion por caso'!$Q:$Q,'Medicion por caso'!$E:$E,"Ciclo 1",'Medicion por caso'!$L:$L,"&gt;=0"),1),"—")</f>
        <v/>
      </c>
    </row>
    <row r="20">
      <c r="A20" s="8" t="inlineStr">
        <is>
          <t>Retrabajo medio (min) · M4</t>
        </is>
      </c>
      <c r="B20" s="8" t="inlineStr">
        <is>
          <t>Ciclo 2</t>
        </is>
      </c>
      <c r="C20" s="8">
        <f>IFERROR(ROUND(AVERAGEIFS('Medicion por caso'!$Q:$Q,'Medicion por caso'!$E:$E,"Ciclo 2",'Medicion por caso'!$L:$L,"&gt;=0",'Medicion por caso'!$C:$C,"S"),1),"—")</f>
        <v/>
      </c>
      <c r="D20" s="8">
        <f>IFERROR(ROUND(AVERAGEIFS('Medicion por caso'!$Q:$Q,'Medicion por caso'!$E:$E,"Ciclo 2",'Medicion por caso'!$L:$L,"&gt;=0",'Medicion por caso'!$C:$C,"M"),1),"—")</f>
        <v/>
      </c>
      <c r="E20" s="8">
        <f>IFERROR(ROUND(AVERAGEIFS('Medicion por caso'!$Q:$Q,'Medicion por caso'!$E:$E,"Ciclo 2",'Medicion por caso'!$L:$L,"&gt;=0",'Medicion por caso'!$C:$C,"L"),1),"—")</f>
        <v/>
      </c>
      <c r="F20" s="8">
        <f>IFERROR(ROUND(AVERAGEIFS('Medicion por caso'!$Q:$Q,'Medicion por caso'!$E:$E,"Ciclo 2",'Medicion por caso'!$L:$L,"&gt;=0"),1),"—")</f>
        <v/>
      </c>
    </row>
    <row r="21">
      <c r="A21" s="6" t="inlineStr">
        <is>
          <t>Codewalk autor medio · M5</t>
        </is>
      </c>
      <c r="B21" s="6" t="inlineStr">
        <is>
          <t>Línea base</t>
        </is>
      </c>
      <c r="C21" s="6">
        <f>IFERROR(ROUND(AVERAGEIFS('Medicion por caso'!$S:$S,'Medicion por caso'!$E:$E,"Línea base",'Medicion por caso'!$L:$L,"&gt;=0",'Medicion por caso'!$C:$C,"S"),1),"—")</f>
        <v/>
      </c>
      <c r="D21" s="6">
        <f>IFERROR(ROUND(AVERAGEIFS('Medicion por caso'!$S:$S,'Medicion por caso'!$E:$E,"Línea base",'Medicion por caso'!$L:$L,"&gt;=0",'Medicion por caso'!$C:$C,"M"),1),"—")</f>
        <v/>
      </c>
      <c r="E21" s="6">
        <f>IFERROR(ROUND(AVERAGEIFS('Medicion por caso'!$S:$S,'Medicion por caso'!$E:$E,"Línea base",'Medicion por caso'!$L:$L,"&gt;=0",'Medicion por caso'!$C:$C,"L"),1),"—")</f>
        <v/>
      </c>
      <c r="F21" s="6">
        <f>IFERROR(ROUND(AVERAGEIFS('Medicion por caso'!$S:$S,'Medicion por caso'!$E:$E,"Línea base",'Medicion por caso'!$L:$L,"&gt;=0"),1),"—")</f>
        <v/>
      </c>
    </row>
    <row r="22">
      <c r="A22" s="8" t="inlineStr">
        <is>
          <t>Codewalk autor medio · M5</t>
        </is>
      </c>
      <c r="B22" s="8" t="inlineStr">
        <is>
          <t>Ciclo 1</t>
        </is>
      </c>
      <c r="C22" s="8">
        <f>IFERROR(ROUND(AVERAGEIFS('Medicion por caso'!$S:$S,'Medicion por caso'!$E:$E,"Ciclo 1",'Medicion por caso'!$L:$L,"&gt;=0",'Medicion por caso'!$C:$C,"S"),1),"—")</f>
        <v/>
      </c>
      <c r="D22" s="8">
        <f>IFERROR(ROUND(AVERAGEIFS('Medicion por caso'!$S:$S,'Medicion por caso'!$E:$E,"Ciclo 1",'Medicion por caso'!$L:$L,"&gt;=0",'Medicion por caso'!$C:$C,"M"),1),"—")</f>
        <v/>
      </c>
      <c r="E22" s="8">
        <f>IFERROR(ROUND(AVERAGEIFS('Medicion por caso'!$S:$S,'Medicion por caso'!$E:$E,"Ciclo 1",'Medicion por caso'!$L:$L,"&gt;=0",'Medicion por caso'!$C:$C,"L"),1),"—")</f>
        <v/>
      </c>
      <c r="F22" s="8">
        <f>IFERROR(ROUND(AVERAGEIFS('Medicion por caso'!$S:$S,'Medicion por caso'!$E:$E,"Ciclo 1",'Medicion por caso'!$L:$L,"&gt;=0"),1),"—")</f>
        <v/>
      </c>
    </row>
    <row r="23">
      <c r="A23" s="6" t="inlineStr">
        <is>
          <t>Codewalk autor medio · M5</t>
        </is>
      </c>
      <c r="B23" s="6" t="inlineStr">
        <is>
          <t>Ciclo 2</t>
        </is>
      </c>
      <c r="C23" s="6">
        <f>IFERROR(ROUND(AVERAGEIFS('Medicion por caso'!$S:$S,'Medicion por caso'!$E:$E,"Ciclo 2",'Medicion por caso'!$L:$L,"&gt;=0",'Medicion por caso'!$C:$C,"S"),1),"—")</f>
        <v/>
      </c>
      <c r="D23" s="6">
        <f>IFERROR(ROUND(AVERAGEIFS('Medicion por caso'!$S:$S,'Medicion por caso'!$E:$E,"Ciclo 2",'Medicion por caso'!$L:$L,"&gt;=0",'Medicion por caso'!$C:$C,"M"),1),"—")</f>
        <v/>
      </c>
      <c r="E23" s="6">
        <f>IFERROR(ROUND(AVERAGEIFS('Medicion por caso'!$S:$S,'Medicion por caso'!$E:$E,"Ciclo 2",'Medicion por caso'!$L:$L,"&gt;=0",'Medicion por caso'!$C:$C,"L"),1),"—")</f>
        <v/>
      </c>
      <c r="F23" s="6">
        <f>IFERROR(ROUND(AVERAGEIFS('Medicion por caso'!$S:$S,'Medicion por caso'!$E:$E,"Ciclo 2",'Medicion por caso'!$L:$L,"&gt;=0"),1),"—")</f>
        <v/>
      </c>
    </row>
    <row r="24">
      <c r="A24" s="8" t="inlineStr">
        <is>
          <t>Codewalk compañero medio · M5</t>
        </is>
      </c>
      <c r="B24" s="8" t="inlineStr">
        <is>
          <t>Línea base</t>
        </is>
      </c>
      <c r="C24" s="8">
        <f>IFERROR(ROUND(AVERAGEIFS('Medicion por caso'!$T:$T,'Medicion por caso'!$E:$E,"Línea base",'Medicion por caso'!$L:$L,"&gt;=0",'Medicion por caso'!$C:$C,"S"),1),"—")</f>
        <v/>
      </c>
      <c r="D24" s="8">
        <f>IFERROR(ROUND(AVERAGEIFS('Medicion por caso'!$T:$T,'Medicion por caso'!$E:$E,"Línea base",'Medicion por caso'!$L:$L,"&gt;=0",'Medicion por caso'!$C:$C,"M"),1),"—")</f>
        <v/>
      </c>
      <c r="E24" s="8">
        <f>IFERROR(ROUND(AVERAGEIFS('Medicion por caso'!$T:$T,'Medicion por caso'!$E:$E,"Línea base",'Medicion por caso'!$L:$L,"&gt;=0",'Medicion por caso'!$C:$C,"L"),1),"—")</f>
        <v/>
      </c>
      <c r="F24" s="8">
        <f>IFERROR(ROUND(AVERAGEIFS('Medicion por caso'!$T:$T,'Medicion por caso'!$E:$E,"Línea base",'Medicion por caso'!$L:$L,"&gt;=0"),1),"—")</f>
        <v/>
      </c>
    </row>
    <row r="25">
      <c r="A25" s="6" t="inlineStr">
        <is>
          <t>Codewalk compañero medio · M5</t>
        </is>
      </c>
      <c r="B25" s="6" t="inlineStr">
        <is>
          <t>Ciclo 1</t>
        </is>
      </c>
      <c r="C25" s="6">
        <f>IFERROR(ROUND(AVERAGEIFS('Medicion por caso'!$T:$T,'Medicion por caso'!$E:$E,"Ciclo 1",'Medicion por caso'!$L:$L,"&gt;=0",'Medicion por caso'!$C:$C,"S"),1),"—")</f>
        <v/>
      </c>
      <c r="D25" s="6">
        <f>IFERROR(ROUND(AVERAGEIFS('Medicion por caso'!$T:$T,'Medicion por caso'!$E:$E,"Ciclo 1",'Medicion por caso'!$L:$L,"&gt;=0",'Medicion por caso'!$C:$C,"M"),1),"—")</f>
        <v/>
      </c>
      <c r="E25" s="6">
        <f>IFERROR(ROUND(AVERAGEIFS('Medicion por caso'!$T:$T,'Medicion por caso'!$E:$E,"Ciclo 1",'Medicion por caso'!$L:$L,"&gt;=0",'Medicion por caso'!$C:$C,"L"),1),"—")</f>
        <v/>
      </c>
      <c r="F25" s="6">
        <f>IFERROR(ROUND(AVERAGEIFS('Medicion por caso'!$T:$T,'Medicion por caso'!$E:$E,"Ciclo 1",'Medicion por caso'!$L:$L,"&gt;=0"),1),"—")</f>
        <v/>
      </c>
    </row>
    <row r="26">
      <c r="A26" s="8" t="inlineStr">
        <is>
          <t>Codewalk compañero medio · M5</t>
        </is>
      </c>
      <c r="B26" s="8" t="inlineStr">
        <is>
          <t>Ciclo 2</t>
        </is>
      </c>
      <c r="C26" s="8">
        <f>IFERROR(ROUND(AVERAGEIFS('Medicion por caso'!$T:$T,'Medicion por caso'!$E:$E,"Ciclo 2",'Medicion por caso'!$L:$L,"&gt;=0",'Medicion por caso'!$C:$C,"S"),1),"—")</f>
        <v/>
      </c>
      <c r="D26" s="8">
        <f>IFERROR(ROUND(AVERAGEIFS('Medicion por caso'!$T:$T,'Medicion por caso'!$E:$E,"Ciclo 2",'Medicion por caso'!$L:$L,"&gt;=0",'Medicion por caso'!$C:$C,"M"),1),"—")</f>
        <v/>
      </c>
      <c r="E26" s="8">
        <f>IFERROR(ROUND(AVERAGEIFS('Medicion por caso'!$T:$T,'Medicion por caso'!$E:$E,"Ciclo 2",'Medicion por caso'!$L:$L,"&gt;=0",'Medicion por caso'!$C:$C,"L"),1),"—")</f>
        <v/>
      </c>
      <c r="F26" s="8">
        <f>IFERROR(ROUND(AVERAGEIFS('Medicion por caso'!$T:$T,'Medicion por caso'!$E:$E,"Ciclo 2",'Medicion por caso'!$L:$L,"&gt;=0"),1),"—")</f>
        <v/>
      </c>
    </row>
    <row r="27">
      <c r="A27" s="6" t="inlineStr">
        <is>
          <t>Pronóstico medio (min) · M6</t>
        </is>
      </c>
      <c r="B27" s="6" t="inlineStr">
        <is>
          <t>Línea base</t>
        </is>
      </c>
      <c r="C27" s="6">
        <f>IFERROR(ROUND(AVERAGEIFS('Medicion por caso'!$H:$H,'Medicion por caso'!$E:$E,"Línea base",'Medicion por caso'!$L:$L,"&gt;=0",'Medicion por caso'!$C:$C,"S"),1),"—")</f>
        <v/>
      </c>
      <c r="D27" s="6">
        <f>IFERROR(ROUND(AVERAGEIFS('Medicion por caso'!$H:$H,'Medicion por caso'!$E:$E,"Línea base",'Medicion por caso'!$L:$L,"&gt;=0",'Medicion por caso'!$C:$C,"M"),1),"—")</f>
        <v/>
      </c>
      <c r="E27" s="6">
        <f>IFERROR(ROUND(AVERAGEIFS('Medicion por caso'!$H:$H,'Medicion por caso'!$E:$E,"Línea base",'Medicion por caso'!$L:$L,"&gt;=0",'Medicion por caso'!$C:$C,"L"),1),"—")</f>
        <v/>
      </c>
      <c r="F27" s="6">
        <f>IFERROR(ROUND(AVERAGEIFS('Medicion por caso'!$H:$H,'Medicion por caso'!$E:$E,"Línea base",'Medicion por caso'!$L:$L,"&gt;=0"),1),"—")</f>
        <v/>
      </c>
    </row>
    <row r="28">
      <c r="A28" s="8" t="inlineStr">
        <is>
          <t>Pronóstico medio (min) · M6</t>
        </is>
      </c>
      <c r="B28" s="8" t="inlineStr">
        <is>
          <t>Ciclo 1</t>
        </is>
      </c>
      <c r="C28" s="8">
        <f>IFERROR(ROUND(AVERAGEIFS('Medicion por caso'!$H:$H,'Medicion por caso'!$E:$E,"Ciclo 1",'Medicion por caso'!$L:$L,"&gt;=0",'Medicion por caso'!$C:$C,"S"),1),"—")</f>
        <v/>
      </c>
      <c r="D28" s="8">
        <f>IFERROR(ROUND(AVERAGEIFS('Medicion por caso'!$H:$H,'Medicion por caso'!$E:$E,"Ciclo 1",'Medicion por caso'!$L:$L,"&gt;=0",'Medicion por caso'!$C:$C,"M"),1),"—")</f>
        <v/>
      </c>
      <c r="E28" s="8">
        <f>IFERROR(ROUND(AVERAGEIFS('Medicion por caso'!$H:$H,'Medicion por caso'!$E:$E,"Ciclo 1",'Medicion por caso'!$L:$L,"&gt;=0",'Medicion por caso'!$C:$C,"L"),1),"—")</f>
        <v/>
      </c>
      <c r="F28" s="8">
        <f>IFERROR(ROUND(AVERAGEIFS('Medicion por caso'!$H:$H,'Medicion por caso'!$E:$E,"Ciclo 1",'Medicion por caso'!$L:$L,"&gt;=0"),1),"—")</f>
        <v/>
      </c>
    </row>
    <row r="29">
      <c r="A29" s="6" t="inlineStr">
        <is>
          <t>Pronóstico medio (min) · M6</t>
        </is>
      </c>
      <c r="B29" s="6" t="inlineStr">
        <is>
          <t>Ciclo 2</t>
        </is>
      </c>
      <c r="C29" s="6">
        <f>IFERROR(ROUND(AVERAGEIFS('Medicion por caso'!$H:$H,'Medicion por caso'!$E:$E,"Ciclo 2",'Medicion por caso'!$L:$L,"&gt;=0",'Medicion por caso'!$C:$C,"S"),1),"—")</f>
        <v/>
      </c>
      <c r="D29" s="6">
        <f>IFERROR(ROUND(AVERAGEIFS('Medicion por caso'!$H:$H,'Medicion por caso'!$E:$E,"Ciclo 2",'Medicion por caso'!$L:$L,"&gt;=0",'Medicion por caso'!$C:$C,"M"),1),"—")</f>
        <v/>
      </c>
      <c r="E29" s="6">
        <f>IFERROR(ROUND(AVERAGEIFS('Medicion por caso'!$H:$H,'Medicion por caso'!$E:$E,"Ciclo 2",'Medicion por caso'!$L:$L,"&gt;=0",'Medicion por caso'!$C:$C,"L"),1),"—")</f>
        <v/>
      </c>
      <c r="F29" s="6">
        <f>IFERROR(ROUND(AVERAGEIFS('Medicion por caso'!$H:$H,'Medicion por caso'!$E:$E,"Ciclo 2",'Medicion por caso'!$L:$L,"&gt;=0"),1),"—")</f>
        <v/>
      </c>
    </row>
    <row r="30">
      <c r="A30" s="8" t="inlineStr">
        <is>
          <t>Ayuda percibida media · M6</t>
        </is>
      </c>
      <c r="B30" s="8" t="inlineStr">
        <is>
          <t>Línea base</t>
        </is>
      </c>
      <c r="C30" s="8">
        <f>IFERROR(ROUND(AVERAGEIFS('Medicion por caso'!$U:$U,'Medicion por caso'!$E:$E,"Línea base",'Medicion por caso'!$L:$L,"&gt;=0",'Medicion por caso'!$C:$C,"S"),1),"—")</f>
        <v/>
      </c>
      <c r="D30" s="8">
        <f>IFERROR(ROUND(AVERAGEIFS('Medicion por caso'!$U:$U,'Medicion por caso'!$E:$E,"Línea base",'Medicion por caso'!$L:$L,"&gt;=0",'Medicion por caso'!$C:$C,"M"),1),"—")</f>
        <v/>
      </c>
      <c r="E30" s="8">
        <f>IFERROR(ROUND(AVERAGEIFS('Medicion por caso'!$U:$U,'Medicion por caso'!$E:$E,"Línea base",'Medicion por caso'!$L:$L,"&gt;=0",'Medicion por caso'!$C:$C,"L"),1),"—")</f>
        <v/>
      </c>
      <c r="F30" s="8">
        <f>IFERROR(ROUND(AVERAGEIFS('Medicion por caso'!$U:$U,'Medicion por caso'!$E:$E,"Línea base",'Medicion por caso'!$L:$L,"&gt;=0"),1),"—")</f>
        <v/>
      </c>
    </row>
    <row r="31">
      <c r="A31" s="6" t="inlineStr">
        <is>
          <t>Ayuda percibida media · M6</t>
        </is>
      </c>
      <c r="B31" s="6" t="inlineStr">
        <is>
          <t>Ciclo 1</t>
        </is>
      </c>
      <c r="C31" s="6">
        <f>IFERROR(ROUND(AVERAGEIFS('Medicion por caso'!$U:$U,'Medicion por caso'!$E:$E,"Ciclo 1",'Medicion por caso'!$L:$L,"&gt;=0",'Medicion por caso'!$C:$C,"S"),1),"—")</f>
        <v/>
      </c>
      <c r="D31" s="6">
        <f>IFERROR(ROUND(AVERAGEIFS('Medicion por caso'!$U:$U,'Medicion por caso'!$E:$E,"Ciclo 1",'Medicion por caso'!$L:$L,"&gt;=0",'Medicion por caso'!$C:$C,"M"),1),"—")</f>
        <v/>
      </c>
      <c r="E31" s="6">
        <f>IFERROR(ROUND(AVERAGEIFS('Medicion por caso'!$U:$U,'Medicion por caso'!$E:$E,"Ciclo 1",'Medicion por caso'!$L:$L,"&gt;=0",'Medicion por caso'!$C:$C,"L"),1),"—")</f>
        <v/>
      </c>
      <c r="F31" s="6">
        <f>IFERROR(ROUND(AVERAGEIFS('Medicion por caso'!$U:$U,'Medicion por caso'!$E:$E,"Ciclo 1",'Medicion por caso'!$L:$L,"&gt;=0"),1),"—")</f>
        <v/>
      </c>
    </row>
    <row r="32">
      <c r="A32" s="8" t="inlineStr">
        <is>
          <t>Ayuda percibida media · M6</t>
        </is>
      </c>
      <c r="B32" s="8" t="inlineStr">
        <is>
          <t>Ciclo 2</t>
        </is>
      </c>
      <c r="C32" s="8">
        <f>IFERROR(ROUND(AVERAGEIFS('Medicion por caso'!$U:$U,'Medicion por caso'!$E:$E,"Ciclo 2",'Medicion por caso'!$L:$L,"&gt;=0",'Medicion por caso'!$C:$C,"S"),1),"—")</f>
        <v/>
      </c>
      <c r="D32" s="8">
        <f>IFERROR(ROUND(AVERAGEIFS('Medicion por caso'!$U:$U,'Medicion por caso'!$E:$E,"Ciclo 2",'Medicion por caso'!$L:$L,"&gt;=0",'Medicion por caso'!$C:$C,"M"),1),"—")</f>
        <v/>
      </c>
      <c r="E32" s="8">
        <f>IFERROR(ROUND(AVERAGEIFS('Medicion por caso'!$U:$U,'Medicion por caso'!$E:$E,"Ciclo 2",'Medicion por caso'!$L:$L,"&gt;=0",'Medicion por caso'!$C:$C,"L"),1),"—")</f>
        <v/>
      </c>
      <c r="F32" s="8">
        <f>IFERROR(ROUND(AVERAGEIFS('Medicion por caso'!$U:$U,'Medicion por caso'!$E:$E,"Ciclo 2",'Medicion por caso'!$L:$L,"&gt;=0"),1),"—")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2026-10-30T04:16:01Z</dcterms:created>
  <dcterms:modified xmlns:dcterms="http://purl.org/dc/terms/" xmlns:xsi="http://www.w3.org/2001/XMLSchema-instance" xsi:type="dcterms:W3CDTF">2026-10-30T04:16:01Z</dcterms:modified>
</cp:coreProperties>
</file>